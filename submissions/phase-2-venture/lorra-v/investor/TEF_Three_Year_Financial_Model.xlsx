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b3bcaa88b4b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5fb98f910c4618"/>
    <x:sheet xmlns:r="http://schemas.openxmlformats.org/officeDocument/2006/relationships" name="Assumptions" sheetId="2" r:id="Rf8e3410621a14d45"/>
    <x:sheet xmlns:r="http://schemas.openxmlformats.org/officeDocument/2006/relationships" name="Revenue Model" sheetId="3" r:id="R5ea7f3c71333484f"/>
    <x:sheet xmlns:r="http://schemas.openxmlformats.org/officeDocument/2006/relationships" name="P&amp;L" sheetId="4" r:id="R7e499c61a9534e21"/>
    <x:sheet xmlns:r="http://schemas.openxmlformats.org/officeDocument/2006/relationships" name="18M Runway" sheetId="5" r:id="R4f7936e474c64c6b"/>
    <x:sheet xmlns:r="http://schemas.openxmlformats.org/officeDocument/2006/relationships" name="Checks" sheetId="6" r:id="R1050b149afe34458"/>
    <x:sheet xmlns:r="http://schemas.openxmlformats.org/officeDocument/2006/relationships" name="Sources" sheetId="7" r:id="Rf327350a13f34401"/>
  </x:sheets>
</x:workbook>
</file>

<file path=xl/comments1.xml><?xml version="1.0" encoding="utf-8"?>
<x:comments xmlns:x="http://schemas.openxmlformats.org/spreadsheetml/2006/main">
  <x:authors>
    <x:author>tc={384F7ABC-1CF2-113E-084E-C65B3263FE0C}</x:author>
    <x:author>tc={521CD2F5-A7BB-2EBF-C402-4392B95E24D9}</x:author>
    <x:author>tc={A30AD161-250A-F41D-D195-CCCCAD78006F}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Management assumption: proposed annual individual access price within the US$49–79 range.</x:t>
        </x:r>
      </x:text>
    </x:comment>
    <x:comment ref="B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Management assumption: proposed annual consultant licence price within the US$149–299 range.</x:t>
        </x:r>
      </x:text>
    </x:comment>
    <x:comment ref="B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Management assumption: blended average for organisational pilots and renewable licences.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$&quot;#,##0;[Red](&quot;$&quot;#,##0);-"/>
    <x:numFmt numFmtId="201" formatCode="0.0%"/>
    <x:numFmt numFmtId="202" formatCode="#,##0"/>
    <x:numFmt numFmtId="203" formatCode="0 &quot;months&quot;"/>
  </x:numFmts>
  <x:fonts count="1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26A75"/>
      <x:name val="Carlito"/>
    </x:font>
    <x:font>
      <x:b/>
      <x:sz val="11"/>
      <x:color rgb="FFFFFFFF"/>
      <x:name val="Carlito"/>
    </x:font>
    <x:font>
      <x:b/>
      <x:sz val="11"/>
      <x:color rgb="FF111318"/>
      <x:name val="Carlito"/>
    </x:font>
    <x:font>
      <x:sz val="11"/>
      <x:color rgb="FF1D4ED8"/>
      <x:name val="Carlito"/>
    </x:font>
    <x:font>
      <x:b/>
      <x:sz val="11"/>
      <x:color rgb="FF1D4ED8"/>
      <x:name val="Carlito"/>
    </x:font>
    <x:font>
      <x:b/>
      <x:sz val="11"/>
      <x:color rgb="FF17324D"/>
      <x:name val="Carlito"/>
    </x:font>
    <x:font>
      <x:sz val="10"/>
      <x:color rgb="FF111318"/>
      <x:name val="Carlito"/>
    </x:font>
    <x:font>
      <x:b/>
      <x:sz val="14"/>
      <x:color rgb="FFFFFFFF"/>
      <x:name val="Carlito"/>
    </x:font>
    <x:font>
      <x:b/>
      <x:sz val="13"/>
      <x:color rgb="FF17324D"/>
      <x:name val="Carlito"/>
    </x:font>
    <x:font>
      <x:b/>
      <x:sz val="12"/>
      <x:color rgb="FF17324D"/>
      <x:name val="Carlito"/>
    </x:font>
    <x:font>
      <x:b/>
      <x:sz val="13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2F4F7"/>
      </x:patternFill>
    </x:fill>
    <x:fill>
      <x:patternFill patternType="solid">
        <x:fgColor rgb="FFFFF0D9"/>
      </x:patternFill>
    </x:fill>
    <x:fill>
      <x:patternFill patternType="solid">
        <x:fgColor rgb="FFDCEFF9"/>
      </x:patternFill>
    </x:fill>
    <x:fill>
      <x:patternFill patternType="solid">
        <x:fgColor rgb="FFDDF3EA"/>
      </x:patternFill>
    </x:fill>
  </x:fills>
  <x:borders count="18">
    <x:border/>
    <x:border>
      <x:bottom style="thin">
        <x:color rgb="FFB8BCC4"/>
      </x:bottom>
    </x:border>
    <x:border>
      <x:left style="thin">
        <x:color rgb="FFE5B963"/>
      </x:left>
      <x:top style="thin">
        <x:color rgb="FFE5B963"/>
      </x:top>
    </x:border>
    <x:border>
      <x:top style="thin">
        <x:color rgb="FFE5B963"/>
      </x:top>
    </x:border>
    <x:border>
      <x:right style="thin">
        <x:color rgb="FFE5B963"/>
      </x:right>
      <x:top style="thin">
        <x:color rgb="FFE5B963"/>
      </x:top>
    </x:border>
    <x:border>
      <x:left style="thin">
        <x:color rgb="FFE5B963"/>
      </x:left>
    </x:border>
    <x:border>
      <x:right style="thin">
        <x:color rgb="FFE5B963"/>
      </x:right>
    </x:border>
    <x:border>
      <x:left style="thin">
        <x:color rgb="FFE5B963"/>
      </x:left>
      <x:bottom style="thin">
        <x:color rgb="FFE5B963"/>
      </x:bottom>
    </x:border>
    <x:border>
      <x:bottom style="thin">
        <x:color rgb="FFE5B963"/>
      </x:bottom>
    </x:border>
    <x:border>
      <x:right style="thin">
        <x:color rgb="FFE5B963"/>
      </x:right>
      <x:bottom style="thin">
        <x:color rgb="FFE5B963"/>
      </x:bottom>
    </x:border>
    <x:border>
      <x:left style="thin">
        <x:color rgb="FFE5B963"/>
      </x:left>
      <x:right style="thin">
        <x:color rgb="FFE5B963"/>
      </x:right>
      <x:top style="thin">
        <x:color rgb="FFE5B963"/>
      </x:top>
      <x:bottom style="thin">
        <x:color rgb="FFB8BCC4"/>
      </x:bottom>
    </x:border>
    <x:border>
      <x:left style="thin">
        <x:color rgb="FFE5B963"/>
      </x:left>
      <x:right style="thin">
        <x:color rgb="FFE5B963"/>
      </x:right>
    </x:border>
    <x:border>
      <x:left style="thin">
        <x:color rgb="FFE5B963"/>
      </x:left>
      <x:right style="thin">
        <x:color rgb="FFE5B963"/>
      </x:right>
      <x:bottom style="thin">
        <x:color rgb="FFE5B963"/>
      </x:bottom>
    </x:border>
    <x:border>
      <x:top style="thin">
        <x:color rgb="FF17324D"/>
      </x:top>
    </x:border>
    <x:border>
      <x:left style="thin">
        <x:color rgb="FFE5B963"/>
      </x:left>
      <x:top style="thin">
        <x:color rgb="FFE5B963"/>
      </x:top>
      <x:bottom style="thin">
        <x:color rgb="FFE5B963"/>
      </x:bottom>
    </x:border>
    <x:border>
      <x:top style="thin">
        <x:color rgb="FFE5B963"/>
      </x:top>
      <x:bottom style="thin">
        <x:color rgb="FFE5B963"/>
      </x:bottom>
    </x:border>
    <x:border>
      <x:right style="thin">
        <x:color rgb="FFE5B963"/>
      </x:right>
      <x:top style="thin">
        <x:color rgb="FFE5B963"/>
      </x:top>
      <x:bottom style="thin">
        <x:color rgb="FFE5B963"/>
      </x:bottom>
    </x:border>
    <x:border>
      <x:bottom style="thin">
        <x:color rgb="FFD5D9DE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200" fontId="5" fillId="4" borderId="2" xfId="0" applyNumberFormat="1" applyFont="1" applyFill="1" applyBorder="1"/>
    <x:xf numFmtId="200" fontId="5" fillId="4" borderId="3" xfId="0" applyNumberFormat="1" applyFont="1" applyFill="1" applyBorder="1"/>
    <x:xf numFmtId="200" fontId="5" fillId="4" borderId="4" xfId="0" applyNumberFormat="1" applyFont="1" applyFill="1" applyBorder="1"/>
    <x:xf numFmtId="200" fontId="5" fillId="4" borderId="5" xfId="0" applyNumberFormat="1" applyFont="1" applyFill="1" applyBorder="1"/>
    <x:xf numFmtId="200" fontId="5" fillId="4" borderId="0" xfId="0" applyNumberFormat="1" applyFont="1" applyFill="1" applyBorder="1"/>
    <x:xf numFmtId="200" fontId="5" fillId="4" borderId="6" xfId="0" applyNumberFormat="1" applyFont="1" applyFill="1" applyBorder="1"/>
    <x:xf numFmtId="200" fontId="5" fillId="4" borderId="2" xfId="0" applyNumberFormat="1" applyFont="1" applyFill="1" applyBorder="1" applyAlignment="1">
      <x:alignment horizontal="right"/>
    </x:xf>
    <x:xf numFmtId="200" fontId="5" fillId="4" borderId="3" xfId="0" applyNumberFormat="1" applyFont="1" applyFill="1" applyBorder="1" applyAlignment="1">
      <x:alignment horizontal="right"/>
    </x:xf>
    <x:xf numFmtId="200" fontId="5" fillId="4" borderId="4" xfId="0" applyNumberFormat="1" applyFont="1" applyFill="1" applyBorder="1" applyAlignment="1">
      <x:alignment horizontal="right"/>
    </x:xf>
    <x:xf numFmtId="200" fontId="5" fillId="4" borderId="5" xfId="0" applyNumberFormat="1" applyFont="1" applyFill="1" applyBorder="1" applyAlignment="1">
      <x:alignment horizontal="right"/>
    </x:xf>
    <x:xf numFmtId="200" fontId="5" fillId="4" borderId="0" xfId="0" applyNumberFormat="1" applyFont="1" applyFill="1" applyBorder="1" applyAlignment="1">
      <x:alignment horizontal="right"/>
    </x:xf>
    <x:xf numFmtId="200" fontId="5" fillId="4" borderId="6" xfId="0" applyNumberFormat="1" applyFont="1" applyFill="1" applyBorder="1" applyAlignment="1">
      <x:alignment horizontal="right"/>
    </x:xf>
    <x:xf numFmtId="201" fontId="5" fillId="4" borderId="5" xfId="0" applyNumberFormat="1" applyFont="1" applyFill="1" applyBorder="1"/>
    <x:xf numFmtId="201" fontId="5" fillId="4" borderId="0" xfId="0" applyNumberFormat="1" applyFont="1" applyFill="1" applyBorder="1"/>
    <x:xf numFmtId="201" fontId="5" fillId="4" borderId="6" xfId="0" applyNumberFormat="1" applyFont="1" applyFill="1" applyBorder="1"/>
    <x:xf numFmtId="201" fontId="5" fillId="4" borderId="7" xfId="0" applyNumberFormat="1" applyFont="1" applyFill="1" applyBorder="1"/>
    <x:xf numFmtId="201" fontId="5" fillId="4" borderId="8" xfId="0" applyNumberFormat="1" applyFont="1" applyFill="1" applyBorder="1"/>
    <x:xf numFmtId="201" fontId="5" fillId="4" borderId="9" xfId="0" applyNumberFormat="1" applyFont="1" applyFill="1" applyBorder="1"/>
    <x:xf numFmtId="201" fontId="5" fillId="4" borderId="5" xfId="0" applyNumberFormat="1" applyFont="1" applyFill="1" applyBorder="1" applyAlignment="1">
      <x:alignment horizontal="right"/>
    </x:xf>
    <x:xf numFmtId="201" fontId="5" fillId="4" borderId="0" xfId="0" applyNumberFormat="1" applyFont="1" applyFill="1" applyBorder="1" applyAlignment="1">
      <x:alignment horizontal="right"/>
    </x:xf>
    <x:xf numFmtId="201" fontId="5" fillId="4" borderId="6" xfId="0" applyNumberFormat="1" applyFont="1" applyFill="1" applyBorder="1" applyAlignment="1">
      <x:alignment horizontal="right"/>
    </x:xf>
    <x:xf numFmtId="201" fontId="5" fillId="4" borderId="7" xfId="0" applyNumberFormat="1" applyFont="1" applyFill="1" applyBorder="1" applyAlignment="1">
      <x:alignment horizontal="right"/>
    </x:xf>
    <x:xf numFmtId="201" fontId="5" fillId="4" borderId="8" xfId="0" applyNumberFormat="1" applyFont="1" applyFill="1" applyBorder="1" applyAlignment="1">
      <x:alignment horizontal="right"/>
    </x:xf>
    <x:xf numFmtId="201" fontId="5" fillId="4" borderId="9" xfId="0" applyNumberFormat="1" applyFont="1" applyFill="1" applyBorder="1" applyAlignment="1">
      <x:alignment horizontal="right"/>
    </x:xf>
    <x:xf numFmtId="200" fontId="5" fillId="4" borderId="7" xfId="0" applyNumberFormat="1" applyFont="1" applyFill="1" applyBorder="1"/>
    <x:xf numFmtId="200" fontId="5" fillId="4" borderId="8" xfId="0" applyNumberFormat="1" applyFont="1" applyFill="1" applyBorder="1"/>
    <x:xf numFmtId="200" fontId="5" fillId="4" borderId="9" xfId="0" applyNumberFormat="1" applyFont="1" applyFill="1" applyBorder="1"/>
    <x:xf numFmtId="200" fontId="5" fillId="4" borderId="7" xfId="0" applyNumberFormat="1" applyFont="1" applyFill="1" applyBorder="1" applyAlignment="1">
      <x:alignment horizontal="right"/>
    </x:xf>
    <x:xf numFmtId="200" fontId="5" fillId="4" borderId="8" xfId="0" applyNumberFormat="1" applyFont="1" applyFill="1" applyBorder="1" applyAlignment="1">
      <x:alignment horizontal="right"/>
    </x:xf>
    <x:xf numFmtId="200" fontId="5" fillId="4" borderId="9" xfId="0" applyNumberFormat="1" applyFont="1" applyFill="1" applyBorder="1" applyAlignment="1">
      <x:alignment horizontal="right"/>
    </x:xf>
    <x:xf numFmtId="0" fontId="4" fillId="4" borderId="1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vertical="center"/>
    </x:xf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200" fontId="6" fillId="4" borderId="10" xfId="0" applyNumberFormat="1" applyFont="1" applyFill="1" applyBorder="1" applyAlignment="1">
      <x:alignment vertical="center"/>
    </x:xf>
    <x:xf numFmtId="200" fontId="6" fillId="4" borderId="10" xfId="0" applyNumberFormat="1" applyFont="1" applyFill="1" applyBorder="1" applyAlignment="1">
      <x:alignment horizontal="right" vertical="center"/>
    </x:xf>
    <x:xf numFmtId="200" fontId="5" fillId="4" borderId="11" xfId="0" applyNumberFormat="1" applyFont="1" applyFill="1" applyBorder="1"/>
    <x:xf numFmtId="200" fontId="5" fillId="4" borderId="12" xfId="0" applyNumberFormat="1" applyFont="1" applyFill="1" applyBorder="1"/>
    <x:xf numFmtId="200" fontId="5" fillId="4" borderId="11" xfId="0" applyNumberFormat="1" applyFont="1" applyFill="1" applyBorder="1" applyAlignment="1">
      <x:alignment horizontal="right"/>
    </x:xf>
    <x:xf numFmtId="200" fontId="5" fillId="4" borderId="12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7" fillId="5" borderId="13" xfId="0" applyNumberFormat="1" applyFont="1" applyFill="1" applyBorder="1"/>
    <x:xf numFmtId="200" fontId="0" fillId="0" borderId="0" xfId="0" applyNumberFormat="1" applyFont="1" applyFill="1" applyBorder="1"/>
    <x:xf numFmtId="200" fontId="7" fillId="5" borderId="13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0" fontId="7" fillId="5" borderId="13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/>
    <x:xf numFmtId="200" fontId="0" fillId="5" borderId="0" xfId="0" applyNumberFormat="1" applyFont="1" applyFill="1" applyBorder="1" applyAlignment="1">
      <x:alignment horizontal="right"/>
    </x:xf>
    <x:xf numFmtId="200" fontId="7" fillId="5" borderId="0" xfId="0" applyNumberFormat="1" applyFont="1" applyFill="1" applyBorder="1" applyAlignment="1">
      <x:alignment horizontal="right"/>
    </x:xf>
    <x:xf numFmtId="200" fontId="0" fillId="3" borderId="0" xfId="0" applyNumberFormat="1" applyFont="1" applyFill="1" applyBorder="1" applyAlignment="1">
      <x:alignment horizontal="right"/>
    </x:xf>
    <x:xf numFmtId="200" fontId="4" fillId="3" borderId="0" xfId="0" applyNumberFormat="1" applyFont="1" applyFill="1" applyBorder="1" applyAlignment="1">
      <x:alignment horizontal="right"/>
    </x:xf>
    <x:xf numFmtId="0" fontId="4" fillId="3" borderId="13" xfId="0" applyNumberFormat="1" applyFont="1" applyFill="1" applyBorder="1"/>
    <x:xf numFmtId="200" fontId="4" fillId="3" borderId="13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wrapText="1"/>
    </x:xf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200" fontId="5" fillId="4" borderId="14" xfId="0" applyNumberFormat="1" applyFont="1" applyFill="1" applyBorder="1"/>
    <x:xf numFmtId="200" fontId="5" fillId="4" borderId="15" xfId="0" applyNumberFormat="1" applyFont="1" applyFill="1" applyBorder="1"/>
    <x:xf numFmtId="200" fontId="5" fillId="4" borderId="16" xfId="0" applyNumberFormat="1" applyFont="1" applyFill="1" applyBorder="1"/>
    <x:xf numFmtId="200" fontId="5" fillId="4" borderId="14" xfId="0" applyNumberFormat="1" applyFont="1" applyFill="1" applyBorder="1" applyAlignment="1">
      <x:alignment horizontal="right"/>
    </x:xf>
    <x:xf numFmtId="200" fontId="5" fillId="4" borderId="15" xfId="0" applyNumberFormat="1" applyFont="1" applyFill="1" applyBorder="1" applyAlignment="1">
      <x:alignment horizontal="right"/>
    </x:xf>
    <x:xf numFmtId="200" fontId="5" fillId="4" borderId="16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 wrapText="1"/>
    </x:xf>
    <x:xf numFmtId="0" fontId="10" fillId="5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17" xfId="0" applyNumberFormat="1" applyFont="1" applyFill="1" applyBorder="1"/>
    <x:xf numFmtId="200" fontId="0" fillId="0" borderId="17" xfId="0" applyNumberFormat="1" applyFont="1" applyFill="1" applyBorder="1" applyAlignment="1">
      <x:alignment horizontal="right"/>
    </x:xf>
    <x:xf numFmtId="200" fontId="11" fillId="0" borderId="0" xfId="0" applyNumberFormat="1" applyFont="1" applyFill="1" applyBorder="1" applyAlignment="1">
      <x:alignment horizontal="right"/>
    </x:xf>
    <x:xf numFmtId="203" fontId="11" fillId="0" borderId="0" xfId="0" applyNumberFormat="1" applyFont="1" applyFill="1" applyBorder="1"/>
    <x:xf numFmtId="200" fontId="11" fillId="0" borderId="17" xfId="0" applyNumberFormat="1" applyFont="1" applyFill="1" applyBorder="1" applyAlignment="1">
      <x:alignment horizontal="right"/>
    </x:xf>
    <x:xf numFmtId="0" fontId="12" fillId="2" borderId="0" xfId="0" applyNumberFormat="1" applyFont="1" applyFill="1" applyBorder="1"/>
    <x:xf numFmtId="0" fontId="11" fillId="6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feff88451a419c" /><Relationship Type="http://schemas.openxmlformats.org/officeDocument/2006/relationships/theme" Target="/xl/theme/theme1.xml" Id="R4153fbe86964497b" /><Relationship Type="http://schemas.openxmlformats.org/officeDocument/2006/relationships/sharedStrings" Target="/xl/sharedStrings.xml" Id="R68aaf911b78842b0" /><Relationship Type="http://schemas.openxmlformats.org/officeDocument/2006/relationships/worksheet" Target="/xl/worksheets/sheet1.xml" Id="R5f5fb98f910c4618" /><Relationship Type="http://schemas.openxmlformats.org/officeDocument/2006/relationships/worksheet" Target="/xl/worksheets/sheet2.xml" Id="Rf8e3410621a14d45" /><Relationship Type="http://schemas.openxmlformats.org/officeDocument/2006/relationships/worksheet" Target="/xl/worksheets/sheet3.xml" Id="R5ea7f3c71333484f" /><Relationship Type="http://schemas.openxmlformats.org/officeDocument/2006/relationships/worksheet" Target="/xl/worksheets/sheet4.xml" Id="R7e499c61a9534e21" /><Relationship Type="http://schemas.openxmlformats.org/officeDocument/2006/relationships/worksheet" Target="/xl/worksheets/sheet5.xml" Id="R4f7936e474c64c6b" /><Relationship Type="http://schemas.openxmlformats.org/officeDocument/2006/relationships/worksheet" Target="/xl/worksheets/sheet6.xml" Id="R1050b149afe34458" /><Relationship Type="http://schemas.openxmlformats.org/officeDocument/2006/relationships/worksheet" Target="/xl/worksheets/sheet7.xml" Id="Rf327350a13f34401" /><Relationship Type="http://schemas.microsoft.com/office/2017/10/relationships/person" Target="/xl/persons/person.xml" Id="R8136a00b7bd940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e09324c14b433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Revenue, Gross Profit and EBITDA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Year 1</c:v>
          </c:tx>
          <c:cat>
            <c:strRef>
              <c:f>'Summary'!$D$6:$D$8</c:f>
              <c:strCache>
                <c:ptCount val="0"/>
              </c:strCache>
            </c:strRef>
          </c:cat>
          <c:val>
            <c:numRef>
              <c:f>'Summary'!$E$6:$E$8</c:f>
              <c:numCache>
                <c:formatCode>"$"#,##0;[Red]("$"#,##0);-</c:formatCode>
                <c:ptCount val="0"/>
              </c:numCache>
            </c:numRef>
          </c:val>
        </c:ser>
        <c:ser>
          <c:idx val="1"/>
          <c:order val="1"/>
          <c:tx>
            <c:v>Year 2</c:v>
          </c:tx>
          <c:cat>
            <c:strRef>
              <c:f>'Summary'!$D$6:$D$8</c:f>
              <c:strCache>
                <c:ptCount val="0"/>
              </c:strCache>
            </c:strRef>
          </c:cat>
          <c:val>
            <c:numRef>
              <c:f>'Summary'!$F$6:$F$8</c:f>
              <c:numCache>
                <c:formatCode>"$"#,##0;[Red]("$"#,##0);-</c:formatCode>
                <c:ptCount val="0"/>
              </c:numCache>
            </c:numRef>
          </c:val>
        </c:ser>
        <c:ser>
          <c:idx val="2"/>
          <c:order val="2"/>
          <c:tx>
            <c:v>Year 3</c:v>
          </c:tx>
          <c:cat>
            <c:strRef>
              <c:f>'Summary'!$D$6:$D$8</c:f>
              <c:strCache>
                <c:ptCount val="0"/>
              </c:strCache>
            </c:strRef>
          </c:cat>
          <c:val>
            <c:numRef>
              <c:f>'Summary'!$G$6:$G$8</c:f>
              <c:numCache>
                <c:formatCode>"$"#,##0;[Red]("$"#,##0);-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e09324c14b433c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Lorraine Villaroel" id="{7A954CD1-50FA-483A-A109-C2FB8A240532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08-14T23:08:05.2" personId="{7A954CD1-50FA-483A-A109-C2FB8A240532}" id="{384F7ABC-1CF2-113E-084E-C65B3263FE0C}">
    <xltc:text>Management assumption: proposed annual individual access price within the US$49–79 range.</xltc:text>
  </xltc:threadedComment>
  <xltc:threadedComment ref="B7" dT="2026-08-14T23:08:05.202" personId="{7A954CD1-50FA-483A-A109-C2FB8A240532}" id="{521CD2F5-A7BB-2EBF-C402-4392B95E24D9}">
    <xltc:text>Management assumption: proposed annual consultant licence price within the US$149–299 range.</xltc:text>
  </xltc:threadedComment>
  <xltc:threadedComment ref="B8" dT="2026-08-14T23:08:05.202" personId="{7A954CD1-50FA-483A-A109-C2FB8A240532}" id="{A30AD161-250A-F41D-D195-CCCCAD78006F}">
    <xltc:text>Management assumption: blended average for organisational pilots and renewable licences.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1316cf8a4c94f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b4ea0058115b42be" /><Relationship Type="http://schemas.openxmlformats.org/officeDocument/2006/relationships/vmlDrawing" Target="/xl/drawings/vmldrawing.vml" Id="R98bb21eb6c524e0e" /><Relationship Type="http://schemas.microsoft.com/office/2017/10/relationships/threadedComment" Target="/xl/threadedcomments/threadedcomment.xml" Id="R0e2973048ce84b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3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" t="str">
        <x:v>The Effective Facilitator — Financial Summary</x:v>
      </x:c>
      <x:c r="B1" s="3"/>
      <x:c r="C1" s="3"/>
      <x:c r="D1" s="3"/>
      <x:c r="E1" s="3"/>
      <x:c r="F1" s="3"/>
      <x:c r="G1" s="3"/>
      <x:c r="H1" s="3"/>
      <x:c r="I1" s="104"/>
      <x:c r="J1" s="104"/>
      <x:c r="K1" s="104"/>
      <x:c r="L1" s="104"/>
      <x:c r="M1" s="104"/>
      <x:c r="N1" s="104"/>
      <x:c r="O1" s="104"/>
      <x:c r="P1" s="104"/>
      <x:c r="Q1" s="104"/>
      <x:c r="R1" s="104"/>
      <x:c r="S1" s="104"/>
      <x:c r="T1" s="104"/>
      <x:c r="U1" s="104"/>
      <x:c r="V1" s="104"/>
      <x:c r="W1" s="104"/>
      <x:c r="X1" s="104"/>
      <x:c r="Y1" s="104"/>
      <x:c r="Z1" s="104"/>
    </x:row>
    <x:row r="2" ht="24" customHeight="1">
      <x:c r="A2" s="4" t="str">
        <x:v>JARR Global | Base case | USD | Three-year planning model</x:v>
      </x:c>
      <x:c r="B2" s="4"/>
      <x:c r="C2" s="4"/>
      <x:c r="D2" s="4"/>
      <x:c r="E2" s="4"/>
      <x:c r="F2" s="4"/>
      <x:c r="G2" s="4"/>
      <x:c r="H2" s="4"/>
    </x:row>
    <x:row r="4">
      <x:c r="A4" s="94" t="str">
        <x:v>Investment case</x:v>
      </x:c>
      <x:c r="B4" s="94"/>
      <x:c r="D4" s="102" t="str">
        <x:v>Base-case trajectory</x:v>
      </x:c>
      <x:c r="E4" s="102"/>
      <x:c r="F4" s="102"/>
      <x:c r="G4" s="102"/>
    </x:row>
    <x:row r="5" ht="26" customHeight="1">
      <x:c r="A5" s="96" t="str">
        <x:v>Pre-seed raise</x:v>
      </x:c>
      <x:c r="B5" s="99" t="n">
        <x:f>'Assumptions'!B25</x:f>
        <x:v>300000</x:v>
      </x:c>
      <x:c r="D5" s="9" t="str">
        <x:v>Metric</x:v>
      </x:c>
      <x:c r="E5" s="9" t="str">
        <x:v>Year 1</x:v>
      </x:c>
      <x:c r="F5" s="9" t="str">
        <x:v>Year 2</x:v>
      </x:c>
      <x:c r="G5" s="9" t="str">
        <x:v>Year 3</x:v>
      </x:c>
    </x:row>
    <x:row r="6" ht="26" customHeight="1">
      <x:c r="A6" s="96" t="str">
        <x:v>Runway objective</x:v>
      </x:c>
      <x:c r="B6" s="100" t="n">
        <x:f>'Assumptions'!B26</x:f>
        <x:v>18</x:v>
      </x:c>
      <x:c r="D6" t="str">
        <x:v>Revenue</x:v>
      </x:c>
      <x:c r="E6" s="68" t="n">
        <x:f>'P&amp;L'!B5</x:f>
        <x:v>86950</x:v>
      </x:c>
      <x:c r="F6" s="68" t="n">
        <x:f>'P&amp;L'!C5</x:f>
        <x:v>332820</x:v>
      </x:c>
      <x:c r="G6" s="68" t="n">
        <x:f>'P&amp;L'!D5</x:f>
        <x:v>966050</x:v>
      </x:c>
    </x:row>
    <x:row r="7" ht="26" customHeight="1">
      <x:c r="A7" s="96" t="str">
        <x:v>Year 1 revenue</x:v>
      </x:c>
      <x:c r="B7" s="99" t="n">
        <x:f>'P&amp;L'!B5</x:f>
        <x:v>86950</x:v>
      </x:c>
      <x:c r="D7" t="str">
        <x:v>Gross profit</x:v>
      </x:c>
      <x:c r="E7" s="68" t="n">
        <x:f>'P&amp;L'!B7</x:f>
        <x:v>73907.5</x:v>
      </x:c>
      <x:c r="F7" s="68" t="n">
        <x:f>'P&amp;L'!C7</x:f>
        <x:v>286225.2</x:v>
      </x:c>
      <x:c r="G7" s="68" t="n">
        <x:f>'P&amp;L'!D7</x:f>
        <x:v>840463.5</x:v>
      </x:c>
    </x:row>
    <x:row r="8" ht="26" customHeight="1">
      <x:c r="A8" s="96" t="str">
        <x:v>Year 3 revenue</x:v>
      </x:c>
      <x:c r="B8" s="99" t="n">
        <x:f>'P&amp;L'!D5</x:f>
        <x:v>966050</x:v>
      </x:c>
      <x:c r="D8" t="str">
        <x:v>EBITDA</x:v>
      </x:c>
      <x:c r="E8" s="68" t="n">
        <x:f>'P&amp;L'!B17</x:f>
        <x:v>-206092.5</x:v>
      </x:c>
      <x:c r="F8" s="68" t="n">
        <x:f>'P&amp;L'!C17</x:f>
        <x:v>-93774.79999999999</x:v>
      </x:c>
      <x:c r="G8" s="68" t="n">
        <x:f>'P&amp;L'!D17</x:f>
        <x:v>240463.5</x:v>
      </x:c>
    </x:row>
    <x:row r="9" ht="26" customHeight="1">
      <x:c r="A9" s="96" t="str">
        <x:v>Year 3 EBITDA</x:v>
      </x:c>
      <x:c r="B9" s="99" t="n">
        <x:f>'P&amp;L'!D17</x:f>
        <x:v>240463.5</x:v>
      </x:c>
    </x:row>
    <x:row r="10" ht="26" customHeight="1">
      <x:c r="A10" s="97" t="str">
        <x:v>18M ARR run rate</x:v>
      </x:c>
      <x:c r="B10" s="101" t="n">
        <x:f>'18M Runway'!S12</x:f>
        <x:v>120000</x:v>
      </x:c>
    </x:row>
    <x:row r="11">
      <x:c r="D11" s="62" t="str">
        <x:v>Management interpretation</x:v>
      </x:c>
      <x:c r="E11" s="62"/>
      <x:c r="F11" s="62"/>
      <x:c r="G11" s="62"/>
    </x:row>
    <x:row r="12" ht="30" customHeight="1">
      <x:c r="D12" s="64" t="str">
        <x:v>Year 1 validates willingness to pay and pilot delivery.</x:v>
      </x:c>
      <x:c r="E12" s="64"/>
      <x:c r="F12" s="64"/>
      <x:c r="G12" s="64"/>
    </x:row>
    <x:row r="13" ht="30" customHeight="1">
      <x:c r="A13" s="103" t="str">
        <x:v>Model status</x:v>
      </x:c>
      <x:c r="B13" s="103" t="str">
        <x:f>'Checks'!B13</x:f>
        <x:v>PASS</x:v>
      </x:c>
      <x:c r="D13" s="64" t="str">
        <x:v>Year 2 tests consultant-led distribution and organisational renewals.</x:v>
      </x:c>
      <x:c r="E13" s="64"/>
      <x:c r="F13" s="64"/>
      <x:c r="G13" s="64"/>
    </x:row>
    <x:row r="14" ht="30" customHeight="1">
      <x:c r="D14" s="64" t="str">
        <x:v>Year 3 targets operating leverage and positive EBITDA.</x:v>
      </x:c>
      <x:c r="E14" s="64"/>
      <x:c r="F14" s="64"/>
      <x:c r="G14" s="64"/>
    </x:row>
    <x:row r="15" ht="30" customHeight="1">
      <x:c r="D15" s="64" t="str">
        <x:v>The model excludes valuation and does not guarantee investor returns.</x:v>
      </x:c>
      <x:c r="E15" s="64"/>
      <x:c r="F15" s="64"/>
      <x:c r="G15" s="64"/>
    </x:row>
  </x:sheetData>
  <x:mergeCells>
    <x:mergeCell ref="A1:H1"/>
    <x:mergeCell ref="A2:H2"/>
    <x:mergeCell ref="A4:B4"/>
    <x:mergeCell ref="D4:G4"/>
    <x:mergeCell ref="D11:G11"/>
    <x:mergeCell ref="D12:G12"/>
    <x:mergeCell ref="D13:G13"/>
    <x:mergeCell ref="D14:G14"/>
    <x:mergeCell ref="D15:G15"/>
  </x:mergeCells>
  <x:pageMargins left="0.7" right="0.7" top="0.75" bottom="0.75" header="0.3" footer="0.3"/>
  <x:drawing xmlns:r="http://schemas.openxmlformats.org/officeDocument/2006/relationships" r:id="R41316cf8a4c94f4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3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3" t="str">
        <x:v>TEF Financial Model — Assumptions</x:v>
      </x:c>
      <x:c r="B1" s="3"/>
      <x:c r="C1" s="3"/>
      <x:c r="D1" s="3"/>
      <x:c r="E1" s="3"/>
      <x:c r="F1" s="3"/>
      <x:c r="G1" s="3"/>
      <x:c r="H1" s="3"/>
      <x:c r="I1" s="104"/>
      <x:c r="J1" s="104"/>
      <x:c r="K1" s="104"/>
      <x:c r="L1" s="104"/>
      <x:c r="M1" s="104"/>
      <x:c r="N1" s="104"/>
      <x:c r="O1" s="104"/>
      <x:c r="P1" s="104"/>
      <x:c r="Q1" s="104"/>
      <x:c r="R1" s="104"/>
      <x:c r="S1" s="104"/>
      <x:c r="T1" s="104"/>
      <x:c r="U1" s="104"/>
      <x:c r="V1" s="104"/>
      <x:c r="W1" s="104"/>
      <x:c r="X1" s="104"/>
      <x:c r="Y1" s="104"/>
      <x:c r="Z1" s="104"/>
    </x:row>
    <x:row r="2" ht="24" customHeight="1">
      <x:c r="A2" s="4" t="str">
        <x:v>JARR Global | Base case | USD | Prepared 14 August 2026</x:v>
      </x:c>
      <x:c r="B2" s="4"/>
      <x:c r="C2" s="4"/>
      <x:c r="D2" s="4"/>
      <x:c r="E2" s="4"/>
      <x:c r="F2" s="4"/>
      <x:c r="G2" s="4"/>
      <x:c r="H2" s="4"/>
    </x:row>
    <x:row r="4" ht="22" customHeight="1">
      <x:c r="A4" s="5" t="str">
        <x:v>Commercial assumptions</x:v>
      </x:c>
      <x:c r="B4" s="5"/>
      <x:c r="C4" s="5"/>
      <x:c r="D4" s="5"/>
      <x:c r="F4" s="62" t="str">
        <x:v>Model conventions</x:v>
      </x:c>
      <x:c r="G4" s="62"/>
      <x:c r="H4" s="62"/>
    </x:row>
    <x:row r="5" ht="28" customHeight="1">
      <x:c r="A5" s="9" t="str">
        <x:v>Driver</x:v>
      </x:c>
      <x:c r="B5" s="9" t="str">
        <x:v>Year 1</x:v>
      </x:c>
      <x:c r="C5" s="9" t="str">
        <x:v>Year 2</x:v>
      </x:c>
      <x:c r="D5" s="9" t="str">
        <x:v>Year 3</x:v>
      </x:c>
      <x:c r="F5" s="64" t="str">
        <x:v>Blue font / amber fill = editable assumption</x:v>
      </x:c>
      <x:c r="G5" s="64"/>
      <x:c r="H5" s="64"/>
    </x:row>
    <x:row r="6" ht="28" customHeight="1">
      <x:c r="A6" t="str">
        <x:v>Individual annual price</x:v>
      </x:c>
      <x:c r="B6" s="26" t="n">
        <x:v>59</x:v>
      </x:c>
      <x:c r="C6" s="27" t="n">
        <x:v>59</x:v>
      </x:c>
      <x:c r="D6" s="28" t="n">
        <x:v>59</x:v>
      </x:c>
      <x:c r="F6" s="64" t="str">
        <x:v>Black formula cells = calculated output</x:v>
      </x:c>
      <x:c r="G6" s="64"/>
      <x:c r="H6" s="64"/>
    </x:row>
    <x:row r="7" ht="28" customHeight="1">
      <x:c r="A7" t="str">
        <x:v>Consultant annual price</x:v>
      </x:c>
      <x:c r="B7" s="29" t="n">
        <x:v>249</x:v>
      </x:c>
      <x:c r="C7" s="30" t="n">
        <x:v>249</x:v>
      </x:c>
      <x:c r="D7" s="31" t="n">
        <x:v>249</x:v>
      </x:c>
      <x:c r="F7" s="64" t="str">
        <x:v>Revenue is recognised as annual access/licence sales</x:v>
      </x:c>
      <x:c r="G7" s="64"/>
      <x:c r="H7" s="64"/>
    </x:row>
    <x:row r="8" ht="28" customHeight="1">
      <x:c r="A8" t="str">
        <x:v>Average organisational licence</x:v>
      </x:c>
      <x:c r="B8" s="29" t="n">
        <x:v>7500</x:v>
      </x:c>
      <x:c r="C8" s="30" t="n">
        <x:v>8500</x:v>
      </x:c>
      <x:c r="D8" s="31" t="n">
        <x:v>10000</x:v>
      </x:c>
      <x:c r="F8" s="64" t="str">
        <x:v>Organisational pricing is an average across pilot and full deployments</x:v>
      </x:c>
      <x:c r="G8" s="64"/>
      <x:c r="H8" s="64"/>
    </x:row>
    <x:row r="9" ht="28" customHeight="1">
      <x:c r="A9" t="str">
        <x:v>Individual annual licences sold</x:v>
      </x:c>
      <x:c r="B9" s="15" t="n">
        <x:v>500</x:v>
      </x:c>
      <x:c r="C9" s="11" t="n">
        <x:v>2000</x:v>
      </x:c>
      <x:c r="D9" s="16" t="n">
        <x:v>6000</x:v>
      </x:c>
      <x:c r="F9" s="64" t="str">
        <x:v>The model is a planning case, not a guarantee</x:v>
      </x:c>
      <x:c r="G9" s="64"/>
      <x:c r="H9" s="64"/>
    </x:row>
    <x:row r="10" ht="28" customHeight="1">
      <x:c r="A10" t="str">
        <x:v>Consultant annual licences sold</x:v>
      </x:c>
      <x:c r="B10" s="15" t="n">
        <x:v>50</x:v>
      </x:c>
      <x:c r="C10" s="11" t="n">
        <x:v>180</x:v>
      </x:c>
      <x:c r="D10" s="16" t="n">
        <x:v>450</x:v>
      </x:c>
      <x:c r="F10" s="64" t="str">
        <x:v>Tax remains zero while the base case is loss-making</x:v>
      </x:c>
      <x:c r="G10" s="64"/>
      <x:c r="H10" s="64"/>
    </x:row>
    <x:row r="11" ht="28" customHeight="1">
      <x:c r="A11" t="str">
        <x:v>Organisational licences</x:v>
      </x:c>
      <x:c r="B11" s="15" t="n">
        <x:v>6</x:v>
      </x:c>
      <x:c r="C11" s="11" t="n">
        <x:v>20</x:v>
      </x:c>
      <x:c r="D11" s="16" t="n">
        <x:v>50</x:v>
      </x:c>
      <x:c r="F11" s="64" t="str">
        <x:v>All values are in US dollars unless stated otherwise</x:v>
      </x:c>
      <x:c r="G11" s="64"/>
      <x:c r="H11" s="64"/>
    </x:row>
    <x:row r="12" ht="28" customHeight="1">
      <x:c r="A12" t="str">
        <x:v>Cost of revenue</x:v>
      </x:c>
      <x:c r="B12" s="38" t="n">
        <x:v>0.15</x:v>
      </x:c>
      <x:c r="C12" s="39" t="n">
        <x:v>0.14</x:v>
      </x:c>
      <x:c r="D12" s="40" t="n">
        <x:v>0.13</x:v>
      </x:c>
      <x:c r="F12" s="64" t="str">
        <x:v>Update assumptions before investor circulation</x:v>
      </x:c>
      <x:c r="G12" s="64"/>
      <x:c r="H12" s="64"/>
    </x:row>
    <x:row r="13">
      <x:c r="A13" t="str">
        <x:v>Tax rate (pre-profit planning assumption)</x:v>
      </x:c>
      <x:c r="B13" s="41" t="n">
        <x:v>0</x:v>
      </x:c>
      <x:c r="C13" s="42" t="n">
        <x:v>0</x:v>
      </x:c>
      <x:c r="D13" s="43" t="n">
        <x:v>0</x:v>
      </x:c>
    </x:row>
    <x:row r="15" ht="22" customHeight="1">
      <x:c r="A15" s="5" t="str">
        <x:v>Operating expense assumptions</x:v>
      </x:c>
      <x:c r="B15" s="5"/>
      <x:c r="C15" s="5"/>
      <x:c r="D15" s="5"/>
    </x:row>
    <x:row r="16">
      <x:c r="A16" s="9" t="str">
        <x:v>Expense category</x:v>
      </x:c>
      <x:c r="B16" s="9" t="str">
        <x:v>Year 1</x:v>
      </x:c>
      <x:c r="C16" s="9" t="str">
        <x:v>Year 2</x:v>
      </x:c>
      <x:c r="D16" s="9" t="str">
        <x:v>Year 3</x:v>
      </x:c>
    </x:row>
    <x:row r="17">
      <x:c r="A17" t="str">
        <x:v>Personnel and specialist contractors</x:v>
      </x:c>
      <x:c r="B17" s="26" t="n">
        <x:v>120000</x:v>
      </x:c>
      <x:c r="C17" s="27" t="n">
        <x:v>180000</x:v>
      </x:c>
      <x:c r="D17" s="28" t="n">
        <x:v>300000</x:v>
      </x:c>
    </x:row>
    <x:row r="18">
      <x:c r="A18" t="str">
        <x:v>Product, hosting and technology</x:v>
      </x:c>
      <x:c r="B18" s="29" t="n">
        <x:v>60000</x:v>
      </x:c>
      <x:c r="C18" s="30" t="n">
        <x:v>70000</x:v>
      </x:c>
      <x:c r="D18" s="31" t="n">
        <x:v>90000</x:v>
      </x:c>
    </x:row>
    <x:row r="19">
      <x:c r="A19" t="str">
        <x:v>Sales, marketing and partnerships</x:v>
      </x:c>
      <x:c r="B19" s="29" t="n">
        <x:v>45000</x:v>
      </x:c>
      <x:c r="C19" s="30" t="n">
        <x:v>75000</x:v>
      </x:c>
      <x:c r="D19" s="31" t="n">
        <x:v>120000</x:v>
      </x:c>
    </x:row>
    <x:row r="20">
      <x:c r="A20" t="str">
        <x:v>Assessment validation and professional services</x:v>
      </x:c>
      <x:c r="B20" s="29" t="n">
        <x:v>30000</x:v>
      </x:c>
      <x:c r="C20" s="30" t="n">
        <x:v>25000</x:v>
      </x:c>
      <x:c r="D20" s="31" t="n">
        <x:v>30000</x:v>
      </x:c>
    </x:row>
    <x:row r="21">
      <x:c r="A21" t="str">
        <x:v>General and administrative</x:v>
      </x:c>
      <x:c r="B21" s="29" t="n">
        <x:v>15000</x:v>
      </x:c>
      <x:c r="C21" s="30" t="n">
        <x:v>25000</x:v>
      </x:c>
      <x:c r="D21" s="31" t="n">
        <x:v>35000</x:v>
      </x:c>
    </x:row>
    <x:row r="22">
      <x:c r="A22" t="str">
        <x:v>Contingency</x:v>
      </x:c>
      <x:c r="B22" s="47" t="n">
        <x:v>10000</x:v>
      </x:c>
      <x:c r="C22" s="48" t="n">
        <x:v>5000</x:v>
      </x:c>
      <x:c r="D22" s="49" t="n">
        <x:v>25000</x:v>
      </x:c>
    </x:row>
    <x:row r="24" ht="22" customHeight="1">
      <x:c r="A24" s="5" t="str">
        <x:v>Funding and validation targets</x:v>
      </x:c>
      <x:c r="B24" s="5"/>
      <x:c r="C24" s="5"/>
      <x:c r="D24" s="5"/>
    </x:row>
    <x:row r="25">
      <x:c r="A25" s="9" t="str">
        <x:v>Pre-seed raise</x:v>
      </x:c>
      <x:c r="B25" s="56" t="n">
        <x:v>300000</x:v>
      </x:c>
    </x:row>
    <x:row r="26">
      <x:c r="A26" t="str">
        <x:v>Runway objective (months)</x:v>
      </x:c>
      <x:c r="B26" s="53" t="n">
        <x:v>18</x:v>
      </x:c>
    </x:row>
    <x:row r="27">
      <x:c r="A27" t="str">
        <x:v>18M individual paying users</x:v>
      </x:c>
      <x:c r="B27" s="53" t="n">
        <x:v>750</x:v>
      </x:c>
    </x:row>
    <x:row r="28">
      <x:c r="A28" t="str">
        <x:v>18M consultant licences</x:v>
      </x:c>
      <x:c r="B28" s="53" t="n">
        <x:v>60</x:v>
      </x:c>
    </x:row>
    <x:row r="29">
      <x:c r="A29" t="str">
        <x:v>18M organisational licences</x:v>
      </x:c>
      <x:c r="B29" s="53" t="n">
        <x:v>8</x:v>
      </x:c>
    </x:row>
    <x:row r="30">
      <x:c r="A30" t="str">
        <x:v>18M average organisation price</x:v>
      </x:c>
      <x:c r="B30" s="59" t="n">
        <x:v>7500</x:v>
      </x:c>
    </x:row>
    <x:row r="31">
      <x:c r="A31" t="str">
        <x:v>ARR target</x:v>
      </x:c>
      <x:c r="B31" s="60" t="n">
        <x:v>100000</x:v>
      </x:c>
    </x:row>
  </x:sheetData>
  <x:mergeCells>
    <x:mergeCell ref="A1:H1"/>
    <x:mergeCell ref="A2:H2"/>
    <x:mergeCell ref="A4:D4"/>
    <x:mergeCell ref="A15:D15"/>
    <x:mergeCell ref="A24:D24"/>
    <x:mergeCell ref="F4:H4"/>
    <x:mergeCell ref="F5:H5"/>
    <x:mergeCell ref="F6:H6"/>
    <x:mergeCell ref="F7:H7"/>
    <x:mergeCell ref="F8:H8"/>
    <x:mergeCell ref="F9:H9"/>
    <x:mergeCell ref="F10:H10"/>
    <x:mergeCell ref="F11:H11"/>
    <x:mergeCell ref="F12:H12"/>
  </x:mergeCells>
  <x:pageMargins left="0.7" right="0.7" top="0.75" bottom="0.75" header="0.3" footer="0.3"/>
  <x:legacyDrawing xmlns:r="http://schemas.openxmlformats.org/officeDocument/2006/relationships" r:id="R98bb21eb6c524e0e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2" customHeight="1">
      <x:c r="A1" s="3" t="str">
        <x:v>Revenue Model</x:v>
      </x:c>
      <x:c r="B1" s="3"/>
      <x:c r="C1" s="3"/>
      <x:c r="D1" s="3"/>
      <x:c r="E1" s="3"/>
      <x:c r="F1" s="3"/>
      <x:c r="G1" s="3"/>
      <x:c r="H1" s="3"/>
      <x:c r="I1" s="104"/>
      <x:c r="J1" s="104"/>
      <x:c r="K1" s="104"/>
      <x:c r="L1" s="104"/>
      <x:c r="M1" s="104"/>
      <x:c r="N1" s="104"/>
      <x:c r="O1" s="104"/>
      <x:c r="P1" s="104"/>
      <x:c r="Q1" s="104"/>
      <x:c r="R1" s="104"/>
      <x:c r="S1" s="104"/>
      <x:c r="T1" s="104"/>
      <x:c r="U1" s="104"/>
      <x:c r="V1" s="104"/>
      <x:c r="W1" s="104"/>
      <x:c r="X1" s="104"/>
      <x:c r="Y1" s="104"/>
      <x:c r="Z1" s="104"/>
    </x:row>
    <x:row r="2" ht="24" customHeight="1">
      <x:c r="A2" s="4" t="str">
        <x:v>Annual access for individuals and consultants; renewable organisational licences</x:v>
      </x:c>
      <x:c r="B2" s="4"/>
      <x:c r="C2" s="4"/>
      <x:c r="D2" s="4"/>
      <x:c r="E2" s="4"/>
      <x:c r="F2" s="4"/>
      <x:c r="G2" s="4"/>
      <x:c r="H2" s="4"/>
    </x:row>
    <x:row r="4">
      <x:c r="A4" s="9" t="str">
        <x:v>Revenue stream</x:v>
      </x:c>
      <x:c r="B4" s="9" t="str">
        <x:v>Year 1</x:v>
      </x:c>
      <x:c r="C4" s="9" t="str">
        <x:v>Year 2</x:v>
      </x:c>
      <x:c r="D4" s="9" t="str">
        <x:v>Year 3</x:v>
      </x:c>
    </x:row>
    <x:row r="5">
      <x:c r="A5" t="str">
        <x:v>Individual access</x:v>
      </x:c>
      <x:c r="B5" s="68" t="n">
        <x:f>'Assumptions'!B6*'Assumptions'!B9</x:f>
        <x:v>29500</x:v>
      </x:c>
      <x:c r="C5" s="68" t="n">
        <x:f>'Assumptions'!C6*'Assumptions'!C9</x:f>
        <x:v>118000</x:v>
      </x:c>
      <x:c r="D5" s="68" t="n">
        <x:f>'Assumptions'!D6*'Assumptions'!D9</x:f>
        <x:v>354000</x:v>
      </x:c>
    </x:row>
    <x:row r="6">
      <x:c r="A6" t="str">
        <x:v>Consultant licences</x:v>
      </x:c>
      <x:c r="B6" s="68" t="n">
        <x:f>'Assumptions'!B7*'Assumptions'!B10</x:f>
        <x:v>12450</x:v>
      </x:c>
      <x:c r="C6" s="68" t="n">
        <x:f>'Assumptions'!C7*'Assumptions'!C10</x:f>
        <x:v>44820</x:v>
      </x:c>
      <x:c r="D6" s="68" t="n">
        <x:f>'Assumptions'!D7*'Assumptions'!D10</x:f>
        <x:v>112050</x:v>
      </x:c>
    </x:row>
    <x:row r="7">
      <x:c r="A7" t="str">
        <x:v>Organisational licences</x:v>
      </x:c>
      <x:c r="B7" s="68" t="n">
        <x:f>'Assumptions'!B8*'Assumptions'!B11</x:f>
        <x:v>45000</x:v>
      </x:c>
      <x:c r="C7" s="68" t="n">
        <x:f>'Assumptions'!C8*'Assumptions'!C11</x:f>
        <x:v>170000</x:v>
      </x:c>
      <x:c r="D7" s="68" t="n">
        <x:f>'Assumptions'!D8*'Assumptions'!D11</x:f>
        <x:v>500000</x:v>
      </x:c>
    </x:row>
    <x:row r="8">
      <x:c r="A8" s="65" t="str">
        <x:v>Total revenue</x:v>
      </x:c>
      <x:c r="B8" s="69" t="n">
        <x:f>SUM(B5:B7)</x:f>
        <x:v>86950</x:v>
      </x:c>
      <x:c r="C8" s="69" t="n">
        <x:f>SUM(C5:C7)</x:f>
        <x:v>332820</x:v>
      </x:c>
      <x:c r="D8" s="69" t="n">
        <x:f>SUM(D5:D7)</x:f>
        <x:v>966050</x:v>
      </x:c>
    </x:row>
    <x:row r="11">
      <x:c r="A11" s="9" t="str">
        <x:v>Operating metric</x:v>
      </x:c>
      <x:c r="B11" s="9" t="str">
        <x:v>Year 1</x:v>
      </x:c>
      <x:c r="C11" s="9" t="str">
        <x:v>Year 2</x:v>
      </x:c>
      <x:c r="D11" s="9" t="str">
        <x:v>Year 3</x:v>
      </x:c>
    </x:row>
    <x:row r="12">
      <x:c r="A12" t="str">
        <x:v>Revenue growth</x:v>
      </x:c>
      <x:c r="B12" s="71" t="n">
        <x:f>0</x:f>
        <x:v>0</x:v>
      </x:c>
      <x:c r="C12" s="71" t="n">
        <x:f>C8/B8-1</x:f>
        <x:v>2.8277170787809087</x:v>
      </x:c>
      <x:c r="D12" s="71" t="n">
        <x:f>D8/C8-1</x:f>
        <x:v>1.9026200348536748</x:v>
      </x:c>
    </x:row>
    <x:row r="13">
      <x:c r="A13" t="str">
        <x:v>Gross margin</x:v>
      </x:c>
      <x:c r="B13" s="71" t="n">
        <x:f>1-'Assumptions'!B12</x:f>
        <x:v>0.85</x:v>
      </x:c>
      <x:c r="C13" s="71" t="n">
        <x:f>1-'Assumptions'!C12</x:f>
        <x:v>0.86</x:v>
      </x:c>
      <x:c r="D13" s="71" t="n">
        <x:f>1-'Assumptions'!D12</x:f>
        <x:v>0.87</x:v>
      </x:c>
    </x:row>
    <x:row r="14">
      <x:c r="A14" t="str">
        <x:v>Organisation share of revenue</x:v>
      </x:c>
      <x:c r="B14" s="71" t="n">
        <x:f>B7/B8</x:f>
        <x:v>0.5175388154111559</x:v>
      </x:c>
      <x:c r="C14" s="71" t="n">
        <x:f>C7/C8</x:f>
        <x:v>0.5107866113815276</x:v>
      </x:c>
      <x:c r="D14" s="71" t="n">
        <x:f>D7/D8</x:f>
        <x:v>0.5175715542673774</x:v>
      </x:c>
    </x:row>
    <x:row r="15">
      <x:c r="A15" t="str">
        <x:v>Revenue per organisation</x:v>
      </x:c>
      <x:c r="B15" s="68" t="n">
        <x:f>'Assumptions'!B8</x:f>
        <x:v>7500</x:v>
      </x:c>
      <x:c r="C15" s="68" t="n">
        <x:f>'Assumptions'!C8</x:f>
        <x:v>8500</x:v>
      </x:c>
      <x:c r="D15" s="68" t="n">
        <x:f>'Assumptions'!D8</x:f>
        <x:v>10000</x:v>
      </x:c>
    </x:row>
    <x:row r="16">
      <x:c r="A16" t="str">
        <x:v>Cumulative learner/customer transactions</x:v>
      </x:c>
      <x:c r="B16" s="72" t="n">
        <x:f>'Assumptions'!B9+'Assumptions'!B10+'Assumptions'!B11</x:f>
        <x:v>556</x:v>
      </x:c>
      <x:c r="C16" s="72" t="n">
        <x:f>B16+'Assumptions'!C9+'Assumptions'!C10+'Assumptions'!C11</x:f>
        <x:v>2756</x:v>
      </x:c>
      <x:c r="D16" s="72" t="n">
        <x:f>C16+'Assumptions'!D9+'Assumptions'!D10+'Assumptions'!D11</x:f>
        <x:v>9256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2" customHeight="1">
      <x:c r="A1" s="3" t="str">
        <x:v>Three-Year Profit and Loss</x:v>
      </x:c>
      <x:c r="B1" s="3"/>
      <x:c r="C1" s="3"/>
      <x:c r="D1" s="3"/>
      <x:c r="E1" s="3"/>
      <x:c r="F1" s="3"/>
      <x:c r="G1" s="3"/>
      <x:c r="H1" s="3"/>
      <x:c r="I1" s="104"/>
      <x:c r="J1" s="104"/>
      <x:c r="K1" s="104"/>
      <x:c r="L1" s="104"/>
      <x:c r="M1" s="104"/>
      <x:c r="N1" s="104"/>
      <x:c r="O1" s="104"/>
      <x:c r="P1" s="104"/>
      <x:c r="Q1" s="104"/>
      <x:c r="R1" s="104"/>
      <x:c r="S1" s="104"/>
      <x:c r="T1" s="104"/>
      <x:c r="U1" s="104"/>
      <x:c r="V1" s="104"/>
      <x:c r="W1" s="104"/>
      <x:c r="X1" s="104"/>
      <x:c r="Y1" s="104"/>
      <x:c r="Z1" s="104"/>
    </x:row>
    <x:row r="2" ht="24" customHeight="1">
      <x:c r="A2" s="4" t="str">
        <x:v>Base-case management projection | USD</x:v>
      </x:c>
      <x:c r="B2" s="4"/>
      <x:c r="C2" s="4"/>
      <x:c r="D2" s="4"/>
      <x:c r="E2" s="4"/>
      <x:c r="F2" s="4"/>
      <x:c r="G2" s="4"/>
      <x:c r="H2" s="4"/>
    </x:row>
    <x:row r="4">
      <x:c r="A4" s="9" t="str">
        <x:v>Profit and loss</x:v>
      </x:c>
      <x:c r="B4" s="9" t="str">
        <x:v>Year 1</x:v>
      </x:c>
      <x:c r="C4" s="9" t="str">
        <x:v>Year 2</x:v>
      </x:c>
      <x:c r="D4" s="9" t="str">
        <x:v>Year 3</x:v>
      </x:c>
    </x:row>
    <x:row r="5">
      <x:c r="A5" t="str">
        <x:v>Revenue</x:v>
      </x:c>
      <x:c r="B5" s="68" t="n">
        <x:f>'Revenue Model'!B8</x:f>
        <x:v>86950</x:v>
      </x:c>
      <x:c r="C5" s="68" t="n">
        <x:f>'Revenue Model'!C8</x:f>
        <x:v>332820</x:v>
      </x:c>
      <x:c r="D5" s="68" t="n">
        <x:f>'Revenue Model'!D8</x:f>
        <x:v>966050</x:v>
      </x:c>
    </x:row>
    <x:row r="6">
      <x:c r="A6" t="str">
        <x:v>Cost of revenue</x:v>
      </x:c>
      <x:c r="B6" s="68" t="n">
        <x:f>-B5*'Assumptions'!B12</x:f>
        <x:v>-13042.5</x:v>
      </x:c>
      <x:c r="C6" s="68" t="n">
        <x:f>-C5*'Assumptions'!C12</x:f>
        <x:v>-46594.8</x:v>
      </x:c>
      <x:c r="D6" s="68" t="n">
        <x:f>-D5*'Assumptions'!D12</x:f>
        <x:v>-125586.5</x:v>
      </x:c>
    </x:row>
    <x:row r="7">
      <x:c r="A7" s="65" t="str">
        <x:v>Gross profit</x:v>
      </x:c>
      <x:c r="B7" s="69" t="n">
        <x:f>SUM(B5:B6)</x:f>
        <x:v>73907.5</x:v>
      </x:c>
      <x:c r="C7" s="69" t="n">
        <x:f>SUM(C5:C6)</x:f>
        <x:v>286225.2</x:v>
      </x:c>
      <x:c r="D7" s="69" t="n">
        <x:f>SUM(D5:D6)</x:f>
        <x:v>840463.5</x:v>
      </x:c>
    </x:row>
    <x:row r="8">
      <x:c r="A8" t="str">
        <x:v>Gross margin</x:v>
      </x:c>
      <x:c r="B8" s="71" t="n">
        <x:f>B7/B5</x:f>
        <x:v>0.85</x:v>
      </x:c>
      <x:c r="C8" s="71" t="n">
        <x:f>C7/C5</x:f>
        <x:v>0.86</x:v>
      </x:c>
      <x:c r="D8" s="71" t="n">
        <x:f>D7/D5</x:f>
        <x:v>0.87</x:v>
      </x:c>
    </x:row>
    <x:row r="9">
      <x:c r="A9" t="str"/>
    </x:row>
    <x:row r="10">
      <x:c r="A10" t="str">
        <x:v>Personnel and specialist contractors</x:v>
      </x:c>
      <x:c r="B10" s="68" t="n">
        <x:f>-'Assumptions'!B17</x:f>
        <x:v>-120000</x:v>
      </x:c>
      <x:c r="C10" s="68" t="n">
        <x:f>-'Assumptions'!C17</x:f>
        <x:v>-180000</x:v>
      </x:c>
      <x:c r="D10" s="68" t="n">
        <x:f>-'Assumptions'!D17</x:f>
        <x:v>-300000</x:v>
      </x:c>
    </x:row>
    <x:row r="11">
      <x:c r="A11" t="str">
        <x:v>Product, hosting and technology</x:v>
      </x:c>
      <x:c r="B11" s="68" t="n">
        <x:f>-'Assumptions'!B18</x:f>
        <x:v>-60000</x:v>
      </x:c>
      <x:c r="C11" s="68" t="n">
        <x:f>-'Assumptions'!C18</x:f>
        <x:v>-70000</x:v>
      </x:c>
      <x:c r="D11" s="68" t="n">
        <x:f>-'Assumptions'!D18</x:f>
        <x:v>-90000</x:v>
      </x:c>
    </x:row>
    <x:row r="12">
      <x:c r="A12" t="str">
        <x:v>Sales, marketing and partnerships</x:v>
      </x:c>
      <x:c r="B12" s="68" t="n">
        <x:f>-'Assumptions'!B19</x:f>
        <x:v>-45000</x:v>
      </x:c>
      <x:c r="C12" s="68" t="n">
        <x:f>-'Assumptions'!C19</x:f>
        <x:v>-75000</x:v>
      </x:c>
      <x:c r="D12" s="68" t="n">
        <x:f>-'Assumptions'!D19</x:f>
        <x:v>-120000</x:v>
      </x:c>
    </x:row>
    <x:row r="13">
      <x:c r="A13" t="str">
        <x:v>Assessment validation and professional services</x:v>
      </x:c>
      <x:c r="B13" s="68" t="n">
        <x:f>-'Assumptions'!B20</x:f>
        <x:v>-30000</x:v>
      </x:c>
      <x:c r="C13" s="68" t="n">
        <x:f>-'Assumptions'!C20</x:f>
        <x:v>-25000</x:v>
      </x:c>
      <x:c r="D13" s="68" t="n">
        <x:f>-'Assumptions'!D20</x:f>
        <x:v>-30000</x:v>
      </x:c>
    </x:row>
    <x:row r="14">
      <x:c r="A14" t="str">
        <x:v>General and administrative</x:v>
      </x:c>
      <x:c r="B14" s="68" t="n">
        <x:f>-'Assumptions'!B21</x:f>
        <x:v>-15000</x:v>
      </x:c>
      <x:c r="C14" s="68" t="n">
        <x:f>-'Assumptions'!C21</x:f>
        <x:v>-25000</x:v>
      </x:c>
      <x:c r="D14" s="68" t="n">
        <x:f>-'Assumptions'!D21</x:f>
        <x:v>-35000</x:v>
      </x:c>
    </x:row>
    <x:row r="15">
      <x:c r="A15" t="str">
        <x:v>Contingency</x:v>
      </x:c>
      <x:c r="B15" s="68" t="n">
        <x:f>-'Assumptions'!B22</x:f>
        <x:v>-10000</x:v>
      </x:c>
      <x:c r="C15" s="68" t="n">
        <x:f>-'Assumptions'!C22</x:f>
        <x:v>-5000</x:v>
      </x:c>
      <x:c r="D15" s="68" t="n">
        <x:f>-'Assumptions'!D22</x:f>
        <x:v>-25000</x:v>
      </x:c>
    </x:row>
    <x:row r="16">
      <x:c r="A16" s="77" t="str">
        <x:v>Total operating expenses</x:v>
      </x:c>
      <x:c r="B16" s="78" t="n">
        <x:f>SUM(B10:B15)</x:f>
        <x:v>-280000</x:v>
      </x:c>
      <x:c r="C16" s="78" t="n">
        <x:f>SUM(C10:C15)</x:f>
        <x:v>-380000</x:v>
      </x:c>
      <x:c r="D16" s="78" t="n">
        <x:f>SUM(D10:D15)</x:f>
        <x:v>-600000</x:v>
      </x:c>
    </x:row>
    <x:row r="17">
      <x:c r="A17" s="7" t="str">
        <x:v>EBITDA</x:v>
      </x:c>
      <x:c r="B17" s="76" t="n">
        <x:f>B7+B16</x:f>
        <x:v>-206092.5</x:v>
      </x:c>
      <x:c r="C17" s="76" t="n">
        <x:f>C7+C16</x:f>
        <x:v>-93774.79999999999</x:v>
      </x:c>
      <x:c r="D17" s="76" t="n">
        <x:f>D7+D16</x:f>
        <x:v>240463.5</x:v>
      </x:c>
    </x:row>
    <x:row r="20">
      <x:c r="A20" s="9" t="str">
        <x:v>Interpretation</x:v>
      </x:c>
      <x:c r="B20" s="9" t="str">
        <x:v>Year 1</x:v>
      </x:c>
      <x:c r="C20" s="9" t="str">
        <x:v>Year 2</x:v>
      </x:c>
      <x:c r="D20" s="9" t="str">
        <x:v>Year 3</x:v>
      </x:c>
    </x:row>
    <x:row r="21" ht="32" customHeight="1">
      <x:c r="A21" s="79" t="str">
        <x:v>Commercial objective</x:v>
      </x:c>
      <x:c r="B21" s="79" t="str">
        <x:v>Prove willingness to pay</x:v>
      </x:c>
      <x:c r="C21" s="79" t="str">
        <x:v>Demonstrate repeatability</x:v>
      </x:c>
      <x:c r="D21" s="79" t="str">
        <x:v>Reach operating leverage</x:v>
      </x:c>
    </x:row>
    <x:row r="22" ht="32" customHeight="1">
      <x:c r="A22" s="79" t="str">
        <x:v>Primary growth driver</x:v>
      </x:c>
      <x:c r="B22" s="79" t="str">
        <x:v>Practitioner outreach + pilots</x:v>
      </x:c>
      <x:c r="C22" s="79" t="str">
        <x:v>Consultant channel + renewals</x:v>
      </x:c>
      <x:c r="D22" s="79" t="str">
        <x:v>Organisational expansion</x:v>
      </x:c>
    </x:row>
    <x:row r="23" ht="32" customHeight="1">
      <x:c r="A23" s="79" t="str">
        <x:v>Expected position</x:v>
      </x:c>
      <x:c r="B23" s="79" t="str">
        <x:v>Investment phase</x:v>
      </x:c>
      <x:c r="C23" s="79" t="str">
        <x:v>Near break-even trajectory</x:v>
      </x:c>
      <x:c r="D23" s="79" t="str">
        <x:v>Base-case profitability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</x:cols>
  <x:sheetData>
    <x:row r="1" ht="32" customHeight="1">
      <x:c r="A1" s="3" t="str">
        <x:v>18-Month Runway</x:v>
      </x:c>
      <x:c r="B1" s="3"/>
      <x:c r="C1" s="3"/>
      <x:c r="D1" s="3"/>
      <x:c r="E1" s="3"/>
      <x:c r="F1" s="3"/>
      <x:c r="G1" s="3"/>
      <x:c r="H1" s="3"/>
      <x:c r="I1" s="104"/>
      <x:c r="J1" s="104"/>
      <x:c r="K1" s="104"/>
      <x:c r="L1" s="104"/>
      <x:c r="M1" s="104"/>
      <x:c r="N1" s="104"/>
      <x:c r="O1" s="104"/>
      <x:c r="P1" s="104"/>
      <x:c r="Q1" s="104"/>
      <x:c r="R1" s="104"/>
      <x:c r="S1" s="104"/>
      <x:c r="T1" s="104"/>
      <x:c r="U1" s="104"/>
      <x:c r="V1" s="104"/>
      <x:c r="W1" s="104"/>
      <x:c r="X1" s="104"/>
      <x:c r="Y1" s="104"/>
      <x:c r="Z1" s="104"/>
    </x:row>
    <x:row r="2" ht="24" customHeight="1">
      <x:c r="A2" s="4" t="str">
        <x:v>Monthly planning view; revenue ramps toward the validation milestone</x:v>
      </x:c>
      <x:c r="B2" s="4"/>
      <x:c r="C2" s="4"/>
      <x:c r="D2" s="4"/>
      <x:c r="E2" s="4"/>
      <x:c r="F2" s="4"/>
      <x:c r="G2" s="4"/>
      <x:c r="H2" s="4"/>
    </x:row>
    <x:row r="4">
      <x:c r="A4" s="9" t="str">
        <x:v>Metric</x:v>
      </x:c>
      <x:c r="B4" s="9" t="str">
        <x:v>M1</x:v>
      </x:c>
      <x:c r="C4" s="9" t="str">
        <x:v>M2</x:v>
      </x:c>
      <x:c r="D4" s="9" t="str">
        <x:v>M3</x:v>
      </x:c>
      <x:c r="E4" s="9" t="str">
        <x:v>M4</x:v>
      </x:c>
      <x:c r="F4" s="9" t="str">
        <x:v>M5</x:v>
      </x:c>
      <x:c r="G4" s="9" t="str">
        <x:v>M6</x:v>
      </x:c>
      <x:c r="H4" s="9" t="str">
        <x:v>M7</x:v>
      </x:c>
      <x:c r="I4" s="9" t="str">
        <x:v>M8</x:v>
      </x:c>
      <x:c r="J4" s="9" t="str">
        <x:v>M9</x:v>
      </x:c>
      <x:c r="K4" s="9" t="str">
        <x:v>M10</x:v>
      </x:c>
      <x:c r="L4" s="9" t="str">
        <x:v>M11</x:v>
      </x:c>
      <x:c r="M4" s="9" t="str">
        <x:v>M12</x:v>
      </x:c>
      <x:c r="N4" s="9" t="str">
        <x:v>M13</x:v>
      </x:c>
      <x:c r="O4" s="9" t="str">
        <x:v>M14</x:v>
      </x:c>
      <x:c r="P4" s="9" t="str">
        <x:v>M15</x:v>
      </x:c>
      <x:c r="Q4" s="9" t="str">
        <x:v>M16</x:v>
      </x:c>
      <x:c r="R4" s="9" t="str">
        <x:v>M17</x:v>
      </x:c>
      <x:c r="S4" s="9" t="str">
        <x:v>M18</x:v>
      </x:c>
    </x:row>
    <x:row r="5">
      <x:c r="A5" t="str">
        <x:v>Revenue</x:v>
      </x:c>
      <x:c r="B5" s="86" t="n">
        <x:v>2500</x:v>
      </x:c>
      <x:c r="C5" s="87" t="n">
        <x:v>3000</x:v>
      </x:c>
      <x:c r="D5" s="87" t="n">
        <x:v>3500</x:v>
      </x:c>
      <x:c r="E5" s="87" t="n">
        <x:v>4000</x:v>
      </x:c>
      <x:c r="F5" s="87" t="n">
        <x:v>4500</x:v>
      </x:c>
      <x:c r="G5" s="87" t="n">
        <x:v>5000</x:v>
      </x:c>
      <x:c r="H5" s="87" t="n">
        <x:v>5500</x:v>
      </x:c>
      <x:c r="I5" s="87" t="n">
        <x:v>6000</x:v>
      </x:c>
      <x:c r="J5" s="87" t="n">
        <x:v>6500</x:v>
      </x:c>
      <x:c r="K5" s="87" t="n">
        <x:v>7000</x:v>
      </x:c>
      <x:c r="L5" s="87" t="n">
        <x:v>7500</x:v>
      </x:c>
      <x:c r="M5" s="87" t="n">
        <x:v>8000</x:v>
      </x:c>
      <x:c r="N5" s="87" t="n">
        <x:v>8500</x:v>
      </x:c>
      <x:c r="O5" s="87" t="n">
        <x:v>9000</x:v>
      </x:c>
      <x:c r="P5" s="87" t="n">
        <x:v>9250</x:v>
      </x:c>
      <x:c r="Q5" s="87" t="n">
        <x:v>9500</x:v>
      </x:c>
      <x:c r="R5" s="87" t="n">
        <x:v>9750</x:v>
      </x:c>
      <x:c r="S5" s="88" t="n">
        <x:v>10000</x:v>
      </x:c>
    </x:row>
    <x:row r="6">
      <x:c r="A6" t="str">
        <x:v>Cost of revenue</x:v>
      </x:c>
      <x:c r="B6" s="68" t="n">
        <x:f>-B5*'Assumptions'!B12</x:f>
        <x:v>-375</x:v>
      </x:c>
      <x:c r="C6" s="68" t="n">
        <x:f>-C5*'Assumptions'!B12</x:f>
        <x:v>-450</x:v>
      </x:c>
      <x:c r="D6" s="68" t="n">
        <x:f>-D5*'Assumptions'!B12</x:f>
        <x:v>-525</x:v>
      </x:c>
      <x:c r="E6" s="68" t="n">
        <x:f>-E5*'Assumptions'!B12</x:f>
        <x:v>-600</x:v>
      </x:c>
      <x:c r="F6" s="68" t="n">
        <x:f>-F5*'Assumptions'!B12</x:f>
        <x:v>-675</x:v>
      </x:c>
      <x:c r="G6" s="68" t="n">
        <x:f>-G5*'Assumptions'!B12</x:f>
        <x:v>-750</x:v>
      </x:c>
      <x:c r="H6" s="68" t="n">
        <x:f>-H5*'Assumptions'!B12</x:f>
        <x:v>-825</x:v>
      </x:c>
      <x:c r="I6" s="68" t="n">
        <x:f>-I5*'Assumptions'!B12</x:f>
        <x:v>-900</x:v>
      </x:c>
      <x:c r="J6" s="68" t="n">
        <x:f>-J5*'Assumptions'!B12</x:f>
        <x:v>-975</x:v>
      </x:c>
      <x:c r="K6" s="68" t="n">
        <x:f>-K5*'Assumptions'!B12</x:f>
        <x:v>-1050</x:v>
      </x:c>
      <x:c r="L6" s="68" t="n">
        <x:f>-L5*'Assumptions'!B12</x:f>
        <x:v>-1125</x:v>
      </x:c>
      <x:c r="M6" s="68" t="n">
        <x:f>-M5*'Assumptions'!B12</x:f>
        <x:v>-1200</x:v>
      </x:c>
      <x:c r="N6" s="68" t="n">
        <x:f>-N5*'Assumptions'!B12</x:f>
        <x:v>-1275</x:v>
      </x:c>
      <x:c r="O6" s="68" t="n">
        <x:f>-O5*'Assumptions'!B12</x:f>
        <x:v>-1350</x:v>
      </x:c>
      <x:c r="P6" s="68" t="n">
        <x:f>-P5*'Assumptions'!B12</x:f>
        <x:v>-1387.5</x:v>
      </x:c>
      <x:c r="Q6" s="68" t="n">
        <x:f>-Q5*'Assumptions'!B12</x:f>
        <x:v>-1425</x:v>
      </x:c>
      <x:c r="R6" s="68" t="n">
        <x:f>-R5*'Assumptions'!B12</x:f>
        <x:v>-1462.5</x:v>
      </x:c>
      <x:c r="S6" s="68" t="n">
        <x:f>-S5*'Assumptions'!B12</x:f>
        <x:v>-1500</x:v>
      </x:c>
    </x:row>
    <x:row r="7">
      <x:c r="A7" t="str">
        <x:v>Gross profit</x:v>
      </x:c>
      <x:c r="B7" s="68" t="n">
        <x:f>SUM(B5:B6)</x:f>
        <x:v>2125</x:v>
      </x:c>
      <x:c r="C7" s="68" t="n">
        <x:f>SUM(C5:C6)</x:f>
        <x:v>2550</x:v>
      </x:c>
      <x:c r="D7" s="68" t="n">
        <x:f>SUM(D5:D6)</x:f>
        <x:v>2975</x:v>
      </x:c>
      <x:c r="E7" s="68" t="n">
        <x:f>SUM(E5:E6)</x:f>
        <x:v>3400</x:v>
      </x:c>
      <x:c r="F7" s="68" t="n">
        <x:f>SUM(F5:F6)</x:f>
        <x:v>3825</x:v>
      </x:c>
      <x:c r="G7" s="68" t="n">
        <x:f>SUM(G5:G6)</x:f>
        <x:v>4250</x:v>
      </x:c>
      <x:c r="H7" s="68" t="n">
        <x:f>SUM(H5:H6)</x:f>
        <x:v>4675</x:v>
      </x:c>
      <x:c r="I7" s="68" t="n">
        <x:f>SUM(I5:I6)</x:f>
        <x:v>5100</x:v>
      </x:c>
      <x:c r="J7" s="68" t="n">
        <x:f>SUM(J5:J6)</x:f>
        <x:v>5525</x:v>
      </x:c>
      <x:c r="K7" s="68" t="n">
        <x:f>SUM(K5:K6)</x:f>
        <x:v>5950</x:v>
      </x:c>
      <x:c r="L7" s="68" t="n">
        <x:f>SUM(L5:L6)</x:f>
        <x:v>6375</x:v>
      </x:c>
      <x:c r="M7" s="68" t="n">
        <x:f>SUM(M5:M6)</x:f>
        <x:v>6800</x:v>
      </x:c>
      <x:c r="N7" s="68" t="n">
        <x:f>SUM(N5:N6)</x:f>
        <x:v>7225</x:v>
      </x:c>
      <x:c r="O7" s="68" t="n">
        <x:f>SUM(O5:O6)</x:f>
        <x:v>7650</x:v>
      </x:c>
      <x:c r="P7" s="68" t="n">
        <x:f>SUM(P5:P6)</x:f>
        <x:v>7862.5</x:v>
      </x:c>
      <x:c r="Q7" s="68" t="n">
        <x:f>SUM(Q5:Q6)</x:f>
        <x:v>8075</x:v>
      </x:c>
      <x:c r="R7" s="68" t="n">
        <x:f>SUM(R5:R6)</x:f>
        <x:v>8287.5</x:v>
      </x:c>
      <x:c r="S7" s="68" t="n">
        <x:f>SUM(S5:S6)</x:f>
        <x:v>8500</x:v>
      </x:c>
    </x:row>
    <x:row r="8">
      <x:c r="A8" t="str">
        <x:v>Operating expenses</x:v>
      </x:c>
      <x:c r="B8" s="86" t="n">
        <x:v>-18000</x:v>
      </x:c>
      <x:c r="C8" s="87" t="n">
        <x:v>-18000</x:v>
      </x:c>
      <x:c r="D8" s="87" t="n">
        <x:v>-18500</x:v>
      </x:c>
      <x:c r="E8" s="87" t="n">
        <x:v>-18500</x:v>
      </x:c>
      <x:c r="F8" s="87" t="n">
        <x:v>-19000</x:v>
      </x:c>
      <x:c r="G8" s="87" t="n">
        <x:v>-19000</x:v>
      </x:c>
      <x:c r="H8" s="87" t="n">
        <x:v>-19500</x:v>
      </x:c>
      <x:c r="I8" s="87" t="n">
        <x:v>-19500</x:v>
      </x:c>
      <x:c r="J8" s="87" t="n">
        <x:v>-20000</x:v>
      </x:c>
      <x:c r="K8" s="87" t="n">
        <x:v>-20500</x:v>
      </x:c>
      <x:c r="L8" s="87" t="n">
        <x:v>-21000</x:v>
      </x:c>
      <x:c r="M8" s="87" t="n">
        <x:v>-21500</x:v>
      </x:c>
      <x:c r="N8" s="87" t="n">
        <x:v>-22000</x:v>
      </x:c>
      <x:c r="O8" s="87" t="n">
        <x:v>-23000</x:v>
      </x:c>
      <x:c r="P8" s="87" t="n">
        <x:v>-24000</x:v>
      </x:c>
      <x:c r="Q8" s="87" t="n">
        <x:v>-24500</x:v>
      </x:c>
      <x:c r="R8" s="87" t="n">
        <x:v>-25000</x:v>
      </x:c>
      <x:c r="S8" s="88" t="n">
        <x:v>-26000</x:v>
      </x:c>
    </x:row>
    <x:row r="9">
      <x:c r="A9" t="str">
        <x:v>Net cash flow</x:v>
      </x:c>
      <x:c r="B9" s="68" t="n">
        <x:f>SUM(B7:B8)</x:f>
        <x:v>-15875</x:v>
      </x:c>
      <x:c r="C9" s="68" t="n">
        <x:f>SUM(C7:C8)</x:f>
        <x:v>-15450</x:v>
      </x:c>
      <x:c r="D9" s="68" t="n">
        <x:f>SUM(D7:D8)</x:f>
        <x:v>-15525</x:v>
      </x:c>
      <x:c r="E9" s="68" t="n">
        <x:f>SUM(E7:E8)</x:f>
        <x:v>-15100</x:v>
      </x:c>
      <x:c r="F9" s="68" t="n">
        <x:f>SUM(F7:F8)</x:f>
        <x:v>-15175</x:v>
      </x:c>
      <x:c r="G9" s="68" t="n">
        <x:f>SUM(G7:G8)</x:f>
        <x:v>-14750</x:v>
      </x:c>
      <x:c r="H9" s="68" t="n">
        <x:f>SUM(H7:H8)</x:f>
        <x:v>-14825</x:v>
      </x:c>
      <x:c r="I9" s="68" t="n">
        <x:f>SUM(I7:I8)</x:f>
        <x:v>-14400</x:v>
      </x:c>
      <x:c r="J9" s="68" t="n">
        <x:f>SUM(J7:J8)</x:f>
        <x:v>-14475</x:v>
      </x:c>
      <x:c r="K9" s="68" t="n">
        <x:f>SUM(K7:K8)</x:f>
        <x:v>-14550</x:v>
      </x:c>
      <x:c r="L9" s="68" t="n">
        <x:f>SUM(L7:L8)</x:f>
        <x:v>-14625</x:v>
      </x:c>
      <x:c r="M9" s="68" t="n">
        <x:f>SUM(M7:M8)</x:f>
        <x:v>-14700</x:v>
      </x:c>
      <x:c r="N9" s="68" t="n">
        <x:f>SUM(N7:N8)</x:f>
        <x:v>-14775</x:v>
      </x:c>
      <x:c r="O9" s="68" t="n">
        <x:f>SUM(O7:O8)</x:f>
        <x:v>-15350</x:v>
      </x:c>
      <x:c r="P9" s="68" t="n">
        <x:f>SUM(P7:P8)</x:f>
        <x:v>-16137.5</x:v>
      </x:c>
      <x:c r="Q9" s="68" t="n">
        <x:f>SUM(Q7:Q8)</x:f>
        <x:v>-16425</x:v>
      </x:c>
      <x:c r="R9" s="68" t="n">
        <x:f>SUM(R7:R8)</x:f>
        <x:v>-16712.5</x:v>
      </x:c>
      <x:c r="S9" s="68" t="n">
        <x:f>SUM(S7:S8)</x:f>
        <x:v>-17500</x:v>
      </x:c>
    </x:row>
    <x:row r="10">
      <x:c r="A10" t="str">
        <x:v>Funding inflow</x:v>
      </x:c>
      <x:c r="B10" s="86" t="n">
        <x:v>300000</x:v>
      </x:c>
      <x:c r="C10" s="87" t="n">
        <x:v>0</x:v>
      </x:c>
      <x:c r="D10" s="87" t="n">
        <x:v>0</x:v>
      </x:c>
      <x:c r="E10" s="87" t="n">
        <x:v>0</x:v>
      </x:c>
      <x:c r="F10" s="87" t="n">
        <x:v>0</x:v>
      </x:c>
      <x:c r="G10" s="87" t="n">
        <x:v>0</x:v>
      </x:c>
      <x:c r="H10" s="87" t="n">
        <x:v>0</x:v>
      </x:c>
      <x:c r="I10" s="87" t="n">
        <x:v>0</x:v>
      </x:c>
      <x:c r="J10" s="87" t="n">
        <x:v>0</x:v>
      </x:c>
      <x:c r="K10" s="87" t="n">
        <x:v>0</x:v>
      </x:c>
      <x:c r="L10" s="87" t="n">
        <x:v>0</x:v>
      </x:c>
      <x:c r="M10" s="87" t="n">
        <x:v>0</x:v>
      </x:c>
      <x:c r="N10" s="87" t="n">
        <x:v>0</x:v>
      </x:c>
      <x:c r="O10" s="87" t="n">
        <x:v>0</x:v>
      </x:c>
      <x:c r="P10" s="87" t="n">
        <x:v>0</x:v>
      </x:c>
      <x:c r="Q10" s="87" t="n">
        <x:v>0</x:v>
      </x:c>
      <x:c r="R10" s="87" t="n">
        <x:v>0</x:v>
      </x:c>
      <x:c r="S10" s="88" t="n">
        <x:v>0</x:v>
      </x:c>
    </x:row>
    <x:row r="11">
      <x:c r="A11" s="65" t="str">
        <x:v>Ending cash</x:v>
      </x:c>
      <x:c r="B11" s="69" t="n">
        <x:f>B9+B10</x:f>
        <x:v>284125</x:v>
      </x:c>
      <x:c r="C11" s="69" t="n">
        <x:f>B11+C9+C10</x:f>
        <x:v>268675</x:v>
      </x:c>
      <x:c r="D11" s="69" t="n">
        <x:f>C11+D9+D10</x:f>
        <x:v>253150</x:v>
      </x:c>
      <x:c r="E11" s="69" t="n">
        <x:f>D11+E9+E10</x:f>
        <x:v>238050</x:v>
      </x:c>
      <x:c r="F11" s="69" t="n">
        <x:f>E11+F9+F10</x:f>
        <x:v>222875</x:v>
      </x:c>
      <x:c r="G11" s="69" t="n">
        <x:f>F11+G9+G10</x:f>
        <x:v>208125</x:v>
      </x:c>
      <x:c r="H11" s="69" t="n">
        <x:f>G11+H9+H10</x:f>
        <x:v>193300</x:v>
      </x:c>
      <x:c r="I11" s="69" t="n">
        <x:f>H11+I9+I10</x:f>
        <x:v>178900</x:v>
      </x:c>
      <x:c r="J11" s="69" t="n">
        <x:f>I11+J9+J10</x:f>
        <x:v>164425</x:v>
      </x:c>
      <x:c r="K11" s="69" t="n">
        <x:f>J11+K9+K10</x:f>
        <x:v>149875</x:v>
      </x:c>
      <x:c r="L11" s="69" t="n">
        <x:f>K11+L9+L10</x:f>
        <x:v>135250</x:v>
      </x:c>
      <x:c r="M11" s="69" t="n">
        <x:f>L11+M9+M10</x:f>
        <x:v>120550</x:v>
      </x:c>
      <x:c r="N11" s="69" t="n">
        <x:f>M11+N9+N10</x:f>
        <x:v>105775</x:v>
      </x:c>
      <x:c r="O11" s="69" t="n">
        <x:f>N11+O9+O10</x:f>
        <x:v>90425</x:v>
      </x:c>
      <x:c r="P11" s="69" t="n">
        <x:f>O11+P9+P10</x:f>
        <x:v>74287.5</x:v>
      </x:c>
      <x:c r="Q11" s="69" t="n">
        <x:f>P11+Q9+Q10</x:f>
        <x:v>57862.5</x:v>
      </x:c>
      <x:c r="R11" s="69" t="n">
        <x:f>Q11+R9+R10</x:f>
        <x:v>41150</x:v>
      </x:c>
      <x:c r="S11" s="69" t="n">
        <x:f>R11+S9+S10</x:f>
        <x:v>23650</x:v>
      </x:c>
    </x:row>
    <x:row r="12">
      <x:c r="A12" t="str">
        <x:v>ARR run rate</x:v>
      </x:c>
      <x:c r="B12" s="68" t="n">
        <x:f>B5*12</x:f>
        <x:v>30000</x:v>
      </x:c>
      <x:c r="C12" s="68" t="n">
        <x:f>C5*12</x:f>
        <x:v>36000</x:v>
      </x:c>
      <x:c r="D12" s="68" t="n">
        <x:f>D5*12</x:f>
        <x:v>42000</x:v>
      </x:c>
      <x:c r="E12" s="68" t="n">
        <x:f>E5*12</x:f>
        <x:v>48000</x:v>
      </x:c>
      <x:c r="F12" s="68" t="n">
        <x:f>F5*12</x:f>
        <x:v>54000</x:v>
      </x:c>
      <x:c r="G12" s="68" t="n">
        <x:f>G5*12</x:f>
        <x:v>60000</x:v>
      </x:c>
      <x:c r="H12" s="68" t="n">
        <x:f>H5*12</x:f>
        <x:v>66000</x:v>
      </x:c>
      <x:c r="I12" s="68" t="n">
        <x:f>I5*12</x:f>
        <x:v>72000</x:v>
      </x:c>
      <x:c r="J12" s="68" t="n">
        <x:f>J5*12</x:f>
        <x:v>78000</x:v>
      </x:c>
      <x:c r="K12" s="68" t="n">
        <x:f>K5*12</x:f>
        <x:v>84000</x:v>
      </x:c>
      <x:c r="L12" s="68" t="n">
        <x:f>L5*12</x:f>
        <x:v>90000</x:v>
      </x:c>
      <x:c r="M12" s="68" t="n">
        <x:f>M5*12</x:f>
        <x:v>96000</x:v>
      </x:c>
      <x:c r="N12" s="68" t="n">
        <x:f>N5*12</x:f>
        <x:v>102000</x:v>
      </x:c>
      <x:c r="O12" s="68" t="n">
        <x:f>O5*12</x:f>
        <x:v>108000</x:v>
      </x:c>
      <x:c r="P12" s="68" t="n">
        <x:f>P5*12</x:f>
        <x:v>111000</x:v>
      </x:c>
      <x:c r="Q12" s="68" t="n">
        <x:f>Q5*12</x:f>
        <x:v>114000</x:v>
      </x:c>
      <x:c r="R12" s="68" t="n">
        <x:f>R5*12</x:f>
        <x:v>117000</x:v>
      </x:c>
      <x:c r="S12" s="68" t="n">
        <x:f>S5*12</x:f>
        <x:v>120000</x:v>
      </x:c>
    </x:row>
    <x:row r="13">
      <x:c r="A13" t="str">
        <x:v>Runway status</x:v>
      </x:c>
      <x:c r="B13" s="91" t="str">
        <x:f>IF(B11&gt;0,"FUNDED","REQUIRES CAPITAL")</x:f>
        <x:v>FUNDED</x:v>
      </x:c>
      <x:c r="C13" s="91" t="str">
        <x:f>IF(C11&gt;0,"FUNDED","REQUIRES CAPITAL")</x:f>
        <x:v>FUNDED</x:v>
      </x:c>
      <x:c r="D13" s="91" t="str">
        <x:f>IF(D11&gt;0,"FUNDED","REQUIRES CAPITAL")</x:f>
        <x:v>FUNDED</x:v>
      </x:c>
      <x:c r="E13" s="91" t="str">
        <x:f>IF(E11&gt;0,"FUNDED","REQUIRES CAPITAL")</x:f>
        <x:v>FUNDED</x:v>
      </x:c>
      <x:c r="F13" s="91" t="str">
        <x:f>IF(F11&gt;0,"FUNDED","REQUIRES CAPITAL")</x:f>
        <x:v>FUNDED</x:v>
      </x:c>
      <x:c r="G13" s="91" t="str">
        <x:f>IF(G11&gt;0,"FUNDED","REQUIRES CAPITAL")</x:f>
        <x:v>FUNDED</x:v>
      </x:c>
      <x:c r="H13" s="91" t="str">
        <x:f>IF(H11&gt;0,"FUNDED","REQUIRES CAPITAL")</x:f>
        <x:v>FUNDED</x:v>
      </x:c>
      <x:c r="I13" s="91" t="str">
        <x:f>IF(I11&gt;0,"FUNDED","REQUIRES CAPITAL")</x:f>
        <x:v>FUNDED</x:v>
      </x:c>
      <x:c r="J13" s="91" t="str">
        <x:f>IF(J11&gt;0,"FUNDED","REQUIRES CAPITAL")</x:f>
        <x:v>FUNDED</x:v>
      </x:c>
      <x:c r="K13" s="91" t="str">
        <x:f>IF(K11&gt;0,"FUNDED","REQUIRES CAPITAL")</x:f>
        <x:v>FUNDED</x:v>
      </x:c>
      <x:c r="L13" s="91" t="str">
        <x:f>IF(L11&gt;0,"FUNDED","REQUIRES CAPITAL")</x:f>
        <x:v>FUNDED</x:v>
      </x:c>
      <x:c r="M13" s="91" t="str">
        <x:f>IF(M11&gt;0,"FUNDED","REQUIRES CAPITAL")</x:f>
        <x:v>FUNDED</x:v>
      </x:c>
      <x:c r="N13" s="91" t="str">
        <x:f>IF(N11&gt;0,"FUNDED","REQUIRES CAPITAL")</x:f>
        <x:v>FUNDED</x:v>
      </x:c>
      <x:c r="O13" s="91" t="str">
        <x:f>IF(O11&gt;0,"FUNDED","REQUIRES CAPITAL")</x:f>
        <x:v>FUNDED</x:v>
      </x:c>
      <x:c r="P13" s="91" t="str">
        <x:f>IF(P11&gt;0,"FUNDED","REQUIRES CAPITAL")</x:f>
        <x:v>FUNDED</x:v>
      </x:c>
      <x:c r="Q13" s="91" t="str">
        <x:f>IF(Q11&gt;0,"FUNDED","REQUIRES CAPITAL")</x:f>
        <x:v>FUNDED</x:v>
      </x:c>
      <x:c r="R13" s="91" t="str">
        <x:f>IF(R11&gt;0,"FUNDED","REQUIRES CAPITAL")</x:f>
        <x:v>FUNDED</x:v>
      </x:c>
      <x:c r="S13" s="91" t="str">
        <x:f>IF(S11&gt;0,"FUNDED","REQUIRES CAPITAL")</x:f>
        <x:v>FUNDED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8" hidden="0" customWidth="1"/>
  </x:cols>
  <x:sheetData>
    <x:row r="1" ht="32" customHeight="1">
      <x:c r="A1" s="3" t="str">
        <x:v>Model Checks</x:v>
      </x:c>
      <x:c r="B1" s="3"/>
      <x:c r="C1" s="3"/>
      <x:c r="D1" s="3"/>
      <x:c r="E1" s="3"/>
      <x:c r="F1" s="3"/>
      <x:c r="G1" s="3"/>
      <x:c r="H1" s="3"/>
      <x:c r="I1" s="104"/>
      <x:c r="J1" s="104"/>
      <x:c r="K1" s="104"/>
      <x:c r="L1" s="104"/>
      <x:c r="M1" s="104"/>
      <x:c r="N1" s="104"/>
      <x:c r="O1" s="104"/>
      <x:c r="P1" s="104"/>
      <x:c r="Q1" s="104"/>
      <x:c r="R1" s="104"/>
      <x:c r="S1" s="104"/>
      <x:c r="T1" s="104"/>
      <x:c r="U1" s="104"/>
      <x:c r="V1" s="104"/>
      <x:c r="W1" s="104"/>
      <x:c r="X1" s="104"/>
      <x:c r="Y1" s="104"/>
      <x:c r="Z1" s="104"/>
    </x:row>
    <x:row r="2" ht="24" customHeight="1">
      <x:c r="A2" s="4" t="str">
        <x:v>All checks should display OK before circulation</x:v>
      </x:c>
      <x:c r="B2" s="4"/>
      <x:c r="C2" s="4"/>
      <x:c r="D2" s="4"/>
      <x:c r="E2" s="4"/>
      <x:c r="F2" s="4"/>
      <x:c r="G2" s="4"/>
      <x:c r="H2" s="4"/>
    </x:row>
    <x:row r="4">
      <x:c r="A4" s="9" t="str">
        <x:v>Check</x:v>
      </x:c>
      <x:c r="B4" s="9" t="str">
        <x:v>Actual</x:v>
      </x:c>
      <x:c r="C4" s="9" t="str">
        <x:v>Expected</x:v>
      </x:c>
      <x:c r="D4" s="9" t="str">
        <x:v>Difference</x:v>
      </x:c>
      <x:c r="E4" s="9" t="str">
        <x:v>Tolerance</x:v>
      </x:c>
      <x:c r="F4" s="9" t="str">
        <x:v>Status</x:v>
      </x:c>
      <x:c r="G4" s="9" t="str">
        <x:v>Notes</x:v>
      </x:c>
    </x:row>
    <x:row r="5">
      <x:c r="A5" t="str">
        <x:v>Revenue components tie to total</x:v>
      </x:c>
      <x:c r="B5" s="68" t="n">
        <x:f>'Revenue Model'!B8</x:f>
        <x:v>86950</x:v>
      </x:c>
      <x:c r="C5" s="68" t="n">
        <x:f>SUM('Revenue Model'!B5:B7)</x:f>
        <x:v>86950</x:v>
      </x:c>
      <x:c r="D5" s="68" t="n">
        <x:f>B5-C5</x:f>
        <x:v>0</x:v>
      </x:c>
      <x:c r="E5" s="68" t="n">
        <x:f>0</x:f>
        <x:v>0</x:v>
      </x:c>
      <x:c r="F5" s="91" t="str">
        <x:f>IF(ABS(D5)&lt;=E5,"OK","REVIEW")</x:f>
        <x:v>OK</x:v>
      </x:c>
      <x:c r="G5" t="str">
        <x:f>"Year 1 revenue"</x:f>
        <x:v>Year 1 revenue</x:v>
      </x:c>
    </x:row>
    <x:row r="6">
      <x:c r="A6" t="str">
        <x:v>Operating expenses tie to assumptions</x:v>
      </x:c>
      <x:c r="B6" s="68" t="n">
        <x:f>-'P&amp;L'!B16</x:f>
        <x:v>280000</x:v>
      </x:c>
      <x:c r="C6" s="68" t="n">
        <x:f>SUM('Assumptions'!B17:B22)</x:f>
        <x:v>280000</x:v>
      </x:c>
      <x:c r="D6" s="68" t="n">
        <x:f>B6-C6</x:f>
        <x:v>0</x:v>
      </x:c>
      <x:c r="E6" s="68" t="n">
        <x:f>0</x:f>
        <x:v>0</x:v>
      </x:c>
      <x:c r="F6" s="91" t="str">
        <x:f>IF(ABS(D6)&lt;=E6,"OK","REVIEW")</x:f>
        <x:v>OK</x:v>
      </x:c>
      <x:c r="G6" t="str">
        <x:f>"Year 1 opex"</x:f>
        <x:v>Year 1 opex</x:v>
      </x:c>
    </x:row>
    <x:row r="7">
      <x:c r="A7" t="str">
        <x:v>Funding allocation equals raise</x:v>
      </x:c>
      <x:c r="B7" s="68" t="n">
        <x:f>'Assumptions'!B25</x:f>
        <x:v>300000</x:v>
      </x:c>
      <x:c r="C7" s="68" t="n">
        <x:f>105000+60000+54000+51000+30000</x:f>
        <x:v>300000</x:v>
      </x:c>
      <x:c r="D7" s="68" t="n">
        <x:f>B7-C7</x:f>
        <x:v>0</x:v>
      </x:c>
      <x:c r="E7" s="68" t="n">
        <x:f>0</x:f>
        <x:v>0</x:v>
      </x:c>
      <x:c r="F7" s="91" t="str">
        <x:f>IF(ABS(D7)&lt;=E7,"OK","REVIEW")</x:f>
        <x:v>OK</x:v>
      </x:c>
      <x:c r="G7" t="str">
        <x:f>"Deck use-of-funds allocation"</x:f>
        <x:v>Deck use-of-funds allocation</x:v>
      </x:c>
    </x:row>
    <x:row r="8">
      <x:c r="A8" t="str">
        <x:v>Year 3 EBITDA is positive</x:v>
      </x:c>
      <x:c r="B8" s="68" t="n">
        <x:f>'P&amp;L'!D17</x:f>
        <x:v>240463.5</x:v>
      </x:c>
      <x:c r="C8" s="68" t="n">
        <x:f>0</x:f>
        <x:v>0</x:v>
      </x:c>
      <x:c r="D8" s="68" t="n">
        <x:f>B8-C8</x:f>
        <x:v>240463.5</x:v>
      </x:c>
      <x:c r="E8" s="68" t="n">
        <x:f>0</x:f>
        <x:v>0</x:v>
      </x:c>
      <x:c r="F8" s="91" t="str">
        <x:f>IF(B8&gt;0,"OK","REVIEW")</x:f>
        <x:v>OK</x:v>
      </x:c>
      <x:c r="G8" t="str">
        <x:f>"Base case"</x:f>
        <x:v>Base case</x:v>
      </x:c>
    </x:row>
    <x:row r="9">
      <x:c r="A9" t="str">
        <x:v>18M ending cash is non-negative</x:v>
      </x:c>
      <x:c r="B9" s="68" t="n">
        <x:f>'18M Runway'!S11</x:f>
        <x:v>23650</x:v>
      </x:c>
      <x:c r="C9" s="68" t="n">
        <x:f>0</x:f>
        <x:v>0</x:v>
      </x:c>
      <x:c r="D9" s="68" t="n">
        <x:f>B9-C9</x:f>
        <x:v>23650</x:v>
      </x:c>
      <x:c r="E9" s="68" t="n">
        <x:f>0</x:f>
        <x:v>0</x:v>
      </x:c>
      <x:c r="F9" s="91" t="str">
        <x:f>IF(B9&gt;=0,"OK","REVIEW")</x:f>
        <x:v>OK</x:v>
      </x:c>
      <x:c r="G9" t="str">
        <x:f>"Liquidity check"</x:f>
        <x:v>Liquidity check</x:v>
      </x:c>
    </x:row>
    <x:row r="10">
      <x:c r="A10" t="str">
        <x:v>18M ARR run rate meets target</x:v>
      </x:c>
      <x:c r="B10" s="68" t="n">
        <x:f>'18M Runway'!S12</x:f>
        <x:v>120000</x:v>
      </x:c>
      <x:c r="C10" s="68" t="n">
        <x:f>'Assumptions'!B31</x:f>
        <x:v>100000</x:v>
      </x:c>
      <x:c r="D10" s="68" t="n">
        <x:f>B10-C10</x:f>
        <x:v>20000</x:v>
      </x:c>
      <x:c r="E10" s="68" t="n">
        <x:f>0</x:f>
        <x:v>0</x:v>
      </x:c>
      <x:c r="F10" s="91" t="str">
        <x:f>IF(B10&gt;=C10,"OK","REVIEW")</x:f>
        <x:v>OK</x:v>
      </x:c>
      <x:c r="G10" t="str">
        <x:f>"Annualised monthly revenue"</x:f>
        <x:v>Annualised monthly revenue</x:v>
      </x:c>
    </x:row>
    <x:row r="13">
      <x:c r="A13" s="92" t="str">
        <x:v>MODEL STATUS</x:v>
      </x:c>
      <x:c r="B13" s="92" t="str">
        <x:f>IF(COUNTIF(F5:F10,"REVIEW")=0,"PASS","FAIL")</x:f>
        <x:v>PASS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8" hidden="0" customWidth="1"/>
    <x:col min="4" max="4" width="18" hidden="0" customWidth="1"/>
    <x:col min="5" max="5" width="40" hidden="0" customWidth="1"/>
    <x:col min="6" max="6" width="55" hidden="0" customWidth="1"/>
    <x:col min="7" max="7" width="20" hidden="0" customWidth="1"/>
  </x:cols>
  <x:sheetData>
    <x:row r="1" ht="32" customHeight="1">
      <x:c r="A1" s="3" t="str">
        <x:v>Sources and Assumption Log</x:v>
      </x:c>
      <x:c r="B1" s="3"/>
      <x:c r="C1" s="3"/>
      <x:c r="D1" s="3"/>
      <x:c r="E1" s="3"/>
      <x:c r="F1" s="3"/>
      <x:c r="G1" s="3"/>
      <x:c r="H1" s="3"/>
      <x:c r="I1" s="104"/>
      <x:c r="J1" s="104"/>
      <x:c r="K1" s="104"/>
      <x:c r="L1" s="104"/>
      <x:c r="M1" s="104"/>
      <x:c r="N1" s="104"/>
      <x:c r="O1" s="104"/>
      <x:c r="P1" s="104"/>
      <x:c r="Q1" s="104"/>
      <x:c r="R1" s="104"/>
      <x:c r="S1" s="104"/>
      <x:c r="T1" s="104"/>
      <x:c r="U1" s="104"/>
      <x:c r="V1" s="104"/>
      <x:c r="W1" s="104"/>
      <x:c r="X1" s="104"/>
      <x:c r="Y1" s="104"/>
      <x:c r="Z1" s="104"/>
    </x:row>
    <x:row r="2" ht="24" customHeight="1">
      <x:c r="A2" s="4" t="str">
        <x:v>External evidence and management assumptions used in the business plan and model</x:v>
      </x:c>
      <x:c r="B2" s="4"/>
      <x:c r="C2" s="4"/>
      <x:c r="D2" s="4"/>
      <x:c r="E2" s="4"/>
      <x:c r="F2" s="4"/>
      <x:c r="G2" s="4"/>
      <x:c r="H2" s="4"/>
    </x:row>
    <x:row r="4">
      <x:c r="A4" s="9" t="str">
        <x:v>Item</x:v>
      </x:c>
      <x:c r="B4" s="9" t="str">
        <x:v>Value</x:v>
      </x:c>
      <x:c r="C4" s="9" t="str">
        <x:v>Type</x:v>
      </x:c>
      <x:c r="D4" s="9" t="str">
        <x:v>As of</x:v>
      </x:c>
      <x:c r="E4" s="9" t="str">
        <x:v>Source / rationale</x:v>
      </x:c>
      <x:c r="F4" s="9" t="str">
        <x:v>URL</x:v>
      </x:c>
      <x:c r="G4" s="9" t="str">
        <x:v>Owner</x:v>
      </x:c>
    </x:row>
    <x:row r="5" ht="38" customHeight="1">
      <x:c r="A5" s="79" t="str">
        <x:v>Core skills expected to change</x:v>
      </x:c>
      <x:c r="B5" s="93" t="n">
        <x:v>0.39</x:v>
      </x:c>
      <x:c r="C5" s="79" t="str">
        <x:v>External evidence</x:v>
      </x:c>
      <x:c r="D5" s="79" t="str">
        <x:v>2025</x:v>
      </x:c>
      <x:c r="E5" s="79" t="str">
        <x:v>World Economic Forum, Future of Jobs Report 2025</x:v>
      </x:c>
      <x:c r="F5" s="79" t="str">
        <x:v>https://www.weforum.org/publications/the-future-of-jobs-report-2025/</x:v>
      </x:c>
      <x:c r="G5" s="79" t="str">
        <x:v>JARR Global</x:v>
      </x:c>
    </x:row>
    <x:row r="6" ht="38" customHeight="1">
      <x:c r="A6" s="79" t="str">
        <x:v>Employers citing skills gaps</x:v>
      </x:c>
      <x:c r="B6" s="93" t="n">
        <x:v>0.63</x:v>
      </x:c>
      <x:c r="C6" s="79" t="str">
        <x:v>External evidence</x:v>
      </x:c>
      <x:c r="D6" s="79" t="str">
        <x:v>2025</x:v>
      </x:c>
      <x:c r="E6" s="79" t="str">
        <x:v>World Economic Forum, Future of Jobs Report 2025</x:v>
      </x:c>
      <x:c r="F6" s="79" t="str">
        <x:v>https://www.weforum.org/publications/the-future-of-jobs-report-2025/</x:v>
      </x:c>
      <x:c r="G6" s="79" t="str">
        <x:v>JARR Global</x:v>
      </x:c>
    </x:row>
    <x:row r="7" ht="38" customHeight="1">
      <x:c r="A7" s="79" t="str">
        <x:v>Human agency framing</x:v>
      </x:c>
      <x:c r="B7" s="79" t="str">
        <x:v>Qualitative</x:v>
      </x:c>
      <x:c r="C7" s="79" t="str">
        <x:v>External evidence</x:v>
      </x:c>
      <x:c r="D7" s="79" t="str">
        <x:v>2026</x:v>
      </x:c>
      <x:c r="E7" s="79" t="str">
        <x:v>Microsoft Work Trend Index</x:v>
      </x:c>
      <x:c r="F7" s="79" t="str">
        <x:v>https://www.microsoft.com/en-us/worklab/work-trend-index/agents-human-agency-and-the-opportunity-for-every-organization</x:v>
      </x:c>
      <x:c r="G7" s="79" t="str">
        <x:v>JARR Global</x:v>
      </x:c>
    </x:row>
    <x:row r="8" ht="38" customHeight="1">
      <x:c r="A8" s="79" t="str">
        <x:v>L&amp;D and career development framing</x:v>
      </x:c>
      <x:c r="B8" s="79" t="str">
        <x:v>Qualitative</x:v>
      </x:c>
      <x:c r="C8" s="79" t="str">
        <x:v>External evidence</x:v>
      </x:c>
      <x:c r="D8" s="79" t="str">
        <x:v>2025</x:v>
      </x:c>
      <x:c r="E8" s="79" t="str">
        <x:v>LinkedIn Workplace Learning Report</x:v>
      </x:c>
      <x:c r="F8" s="79" t="str">
        <x:v>https://business.linkedin.com/learn/resources/workplace-learning-report</x:v>
      </x:c>
      <x:c r="G8" s="79" t="str">
        <x:v>JARR Global</x:v>
      </x:c>
    </x:row>
    <x:row r="9" ht="38" customHeight="1">
      <x:c r="A9" s="79" t="str">
        <x:v>Individual price</x:v>
      </x:c>
      <x:c r="B9" s="79" t="n">
        <x:v>59</x:v>
      </x:c>
      <x:c r="C9" s="79" t="str">
        <x:v>Management assumption</x:v>
      </x:c>
      <x:c r="D9" s="79" t="str">
        <x:v>2026-08-14</x:v>
      </x:c>
      <x:c r="E9" s="79" t="str">
        <x:v>Within proposed US$49–79 range</x:v>
      </x:c>
      <x:c r="F9" s="79" t="str"/>
      <x:c r="G9" s="79" t="str">
        <x:v>Lorraine Villaroel</x:v>
      </x:c>
    </x:row>
    <x:row r="10" ht="38" customHeight="1">
      <x:c r="A10" s="79" t="str">
        <x:v>Consultant price</x:v>
      </x:c>
      <x:c r="B10" s="79" t="n">
        <x:v>249</x:v>
      </x:c>
      <x:c r="C10" s="79" t="str">
        <x:v>Management assumption</x:v>
      </x:c>
      <x:c r="D10" s="79" t="str">
        <x:v>2026-08-14</x:v>
      </x:c>
      <x:c r="E10" s="79" t="str">
        <x:v>Within proposed US$149–299 range</x:v>
      </x:c>
      <x:c r="F10" s="79" t="str"/>
      <x:c r="G10" s="79" t="str">
        <x:v>Lorraine Villaroel</x:v>
      </x:c>
    </x:row>
    <x:row r="11" ht="38" customHeight="1">
      <x:c r="A11" s="79" t="str">
        <x:v>Organisation average price</x:v>
      </x:c>
      <x:c r="B11" s="79" t="n">
        <x:v>7500</x:v>
      </x:c>
      <x:c r="C11" s="79" t="str">
        <x:v>Management assumption</x:v>
      </x:c>
      <x:c r="D11" s="79" t="str">
        <x:v>2026-08-14</x:v>
      </x:c>
      <x:c r="E11" s="79" t="str">
        <x:v>Midpoint planning case within proposed pilot range</x:v>
      </x:c>
      <x:c r="F11" s="79" t="str"/>
      <x:c r="G11" s="79" t="str">
        <x:v>Lorraine Villaroel</x:v>
      </x:c>
    </x:row>
    <x:row r="12" ht="38" customHeight="1">
      <x:c r="A12" s="79" t="str">
        <x:v>Pre-seed raise</x:v>
      </x:c>
      <x:c r="B12" s="79" t="n">
        <x:v>300000</x:v>
      </x:c>
      <x:c r="C12" s="79" t="str">
        <x:v>Management assumption</x:v>
      </x:c>
      <x:c r="D12" s="79" t="str">
        <x:v>2026-08-14</x:v>
      </x:c>
      <x:c r="E12" s="79" t="str">
        <x:v>Designed for 15–18 months of validation runway</x:v>
      </x:c>
      <x:c r="F12" s="79" t="str"/>
      <x:c r="G12" s="79" t="str">
        <x:v>Lorraine Villaroel</x:v>
      </x:c>
    </x:row>
  </x:sheetData>
  <x:mergeCells>
    <x:mergeCell ref="A1:H1"/>
    <x:mergeCell ref="A2:H2"/>
  </x:mergeCells>
  <x:pageMargins left="0.7" right="0.7" top="0.75" bottom="0.75" header="0.3" footer="0.3"/>
</x:worksheet>
</file>